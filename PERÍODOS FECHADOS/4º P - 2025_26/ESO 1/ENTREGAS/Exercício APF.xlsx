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<sst xmlns="http://schemas.openxmlformats.org/spreadsheetml/2006/main" count="92" uniqueCount="47">
  <si>
    <t>Valdir de Souza Carvalho Neto    
 SI 241 - Engenharia de Software I</t>
  </si>
  <si>
    <t>Nome</t>
  </si>
  <si>
    <t>Tipo</t>
  </si>
  <si>
    <t>TD</t>
  </si>
  <si>
    <t>TR</t>
  </si>
  <si>
    <t>Complexidade</t>
  </si>
  <si>
    <t>Contribuição</t>
  </si>
  <si>
    <t>Proprietário</t>
  </si>
  <si>
    <t>ALI</t>
  </si>
  <si>
    <t>B</t>
  </si>
  <si>
    <t>PF</t>
  </si>
  <si>
    <t>Produto</t>
  </si>
  <si>
    <t>Corretor</t>
  </si>
  <si>
    <t>Esforço</t>
  </si>
  <si>
    <t>x</t>
  </si>
  <si>
    <t>horas</t>
  </si>
  <si>
    <t>Inquilino</t>
  </si>
  <si>
    <t>Custo</t>
  </si>
  <si>
    <t>60% de lucro</t>
  </si>
  <si>
    <t>Imóvel</t>
  </si>
  <si>
    <t>Prazo</t>
  </si>
  <si>
    <t>/</t>
  </si>
  <si>
    <t>meses</t>
  </si>
  <si>
    <t>AR</t>
  </si>
  <si>
    <t>Preço de venda:</t>
  </si>
  <si>
    <t>Cadastrar Proprietário</t>
  </si>
  <si>
    <t>EE</t>
  </si>
  <si>
    <t>Alterar Proprietário (somente nome)</t>
  </si>
  <si>
    <t>Excluir Proprietário</t>
  </si>
  <si>
    <t>Consultar Proprietário</t>
  </si>
  <si>
    <t>CE</t>
  </si>
  <si>
    <t>Cadastrar Corretor</t>
  </si>
  <si>
    <t>Alterar Corretor (somente nome)</t>
  </si>
  <si>
    <t>Excluir Corretor</t>
  </si>
  <si>
    <t>Consultar Corretor</t>
  </si>
  <si>
    <t>Cadastrar Inquilino</t>
  </si>
  <si>
    <t>Alterar Inquilino (somente nome)</t>
  </si>
  <si>
    <t>Excluir Inquilino</t>
  </si>
  <si>
    <t>Consultar Inquilino</t>
  </si>
  <si>
    <t>Cadastrar Imóvel</t>
  </si>
  <si>
    <t>Alterar Imóvel (Descrição, ValorAlug, Alugado)</t>
  </si>
  <si>
    <t>Excluir Imóvel</t>
  </si>
  <si>
    <t>Consultar Imóvel</t>
  </si>
  <si>
    <t>Relatório de Imóveis Alugados</t>
  </si>
  <si>
    <t>SE</t>
  </si>
  <si>
    <t>Relatório de Imóveis Disponíveis</t>
  </si>
  <si>
    <t>Pontos de função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</si>
</sst>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i/>
      <sz val="11.0"/>
      <color theme="1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0" fillId="0" fontId="6" numFmtId="0" xfId="0" applyFont="1"/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5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0" fillId="0" fontId="6" numFmtId="164" xfId="0" applyFont="1" applyNumberFormat="1"/>
    <xf borderId="8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0" fillId="0" fontId="6" numFmtId="1" xfId="0" applyFont="1" applyNumberFormat="1"/>
    <xf borderId="6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5" fillId="0" fontId="6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0" fillId="3" fontId="6" numFmtId="0" xfId="0" applyFill="1" applyFont="1"/>
    <xf borderId="0" fillId="3" fontId="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24075" cy="6858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8:G12" displayName="Table_1" name="Table_1" id="1">
  <tableColumns count="6">
    <tableColumn name="Nome" id="1"/>
    <tableColumn name="Tipo" id="2"/>
    <tableColumn name="TD" id="3"/>
    <tableColumn name="TR" id="4"/>
    <tableColumn name="Complexidade" id="5"/>
    <tableColumn name="Contribuição" id="6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B14:G36" displayName="Table_2" name="Table_2" id="2">
  <tableColumns count="6">
    <tableColumn name="Nome" id="1"/>
    <tableColumn name="Tipo" id="2"/>
    <tableColumn name="TD" id="3"/>
    <tableColumn name="AR" id="4"/>
    <tableColumn name="Complexidade" id="5"/>
    <tableColumn name="Contribuição" id="6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6.63"/>
    <col customWidth="1" min="3" max="3" width="4.5"/>
    <col customWidth="1" min="4" max="4" width="3.25"/>
    <col customWidth="1" min="5" max="5" width="3.38"/>
    <col customWidth="1" min="6" max="6" width="12.38"/>
    <col customWidth="1" min="7" max="7" width="11.25"/>
    <col customWidth="1" min="8" max="8" width="14.75"/>
    <col customWidth="1" min="9" max="9" width="10.1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42.75" customHeight="1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4"/>
      <c r="C6" s="5"/>
      <c r="D6" s="5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/>
      <c r="B7" s="5"/>
      <c r="C7" s="5"/>
      <c r="D7" s="5"/>
      <c r="E7" s="5"/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7"/>
      <c r="I8" s="7"/>
      <c r="J8" s="7"/>
      <c r="K8" s="7"/>
      <c r="L8" s="7"/>
      <c r="M8" s="7"/>
      <c r="N8" s="7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8" t="s">
        <v>7</v>
      </c>
      <c r="C9" s="9" t="s">
        <v>8</v>
      </c>
      <c r="D9" s="9">
        <v>2.0</v>
      </c>
      <c r="E9" s="9">
        <v>1.0</v>
      </c>
      <c r="F9" s="9" t="s">
        <v>9</v>
      </c>
      <c r="G9" s="10">
        <v>7.0</v>
      </c>
      <c r="H9" s="7"/>
      <c r="I9" s="7"/>
      <c r="J9" s="11" t="s">
        <v>10</v>
      </c>
      <c r="L9" s="11"/>
      <c r="M9" s="12" t="s">
        <v>11</v>
      </c>
      <c r="N9" s="7"/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13" t="s">
        <v>12</v>
      </c>
      <c r="C10" s="14" t="s">
        <v>8</v>
      </c>
      <c r="D10" s="14">
        <v>2.0</v>
      </c>
      <c r="E10" s="14">
        <v>1.0</v>
      </c>
      <c r="F10" s="14" t="s">
        <v>9</v>
      </c>
      <c r="G10" s="15">
        <v>7.0</v>
      </c>
      <c r="H10" s="7"/>
      <c r="I10" s="7"/>
      <c r="J10" s="12" t="s">
        <v>13</v>
      </c>
      <c r="K10" s="12">
        <f>G38</f>
        <v>82</v>
      </c>
      <c r="L10" s="11" t="s">
        <v>14</v>
      </c>
      <c r="M10" s="12">
        <v>8.0</v>
      </c>
      <c r="N10" s="7">
        <f t="shared" ref="N10:N11" si="1">K10*M10</f>
        <v>656</v>
      </c>
      <c r="O10" s="12" t="s">
        <v>15</v>
      </c>
      <c r="P10" s="12">
        <v>36.0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13" t="s">
        <v>16</v>
      </c>
      <c r="C11" s="14" t="s">
        <v>8</v>
      </c>
      <c r="D11" s="14">
        <v>2.0</v>
      </c>
      <c r="E11" s="14">
        <v>1.0</v>
      </c>
      <c r="F11" s="14" t="s">
        <v>9</v>
      </c>
      <c r="G11" s="15">
        <v>7.0</v>
      </c>
      <c r="H11" s="7"/>
      <c r="I11" s="7"/>
      <c r="J11" s="12" t="s">
        <v>17</v>
      </c>
      <c r="K11" s="12">
        <f>G38</f>
        <v>82</v>
      </c>
      <c r="L11" s="11" t="s">
        <v>14</v>
      </c>
      <c r="M11" s="12">
        <v>60.0</v>
      </c>
      <c r="N11" s="16">
        <f t="shared" si="1"/>
        <v>4920</v>
      </c>
      <c r="O11" s="12" t="s">
        <v>18</v>
      </c>
      <c r="P11" s="16">
        <f>N11*0.6</f>
        <v>2952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17" t="s">
        <v>19</v>
      </c>
      <c r="C12" s="18" t="s">
        <v>8</v>
      </c>
      <c r="D12" s="18">
        <v>5.0</v>
      </c>
      <c r="E12" s="18">
        <v>1.0</v>
      </c>
      <c r="F12" s="18" t="s">
        <v>9</v>
      </c>
      <c r="G12" s="19">
        <v>7.0</v>
      </c>
      <c r="H12" s="7"/>
      <c r="I12" s="7"/>
      <c r="J12" s="12" t="s">
        <v>20</v>
      </c>
      <c r="K12" s="12">
        <v>144.0</v>
      </c>
      <c r="L12" s="11" t="s">
        <v>21</v>
      </c>
      <c r="M12" s="12">
        <v>36.0</v>
      </c>
      <c r="N12" s="20">
        <f>N10/K12</f>
        <v>4.555555556</v>
      </c>
      <c r="O12" s="12" t="s">
        <v>22</v>
      </c>
      <c r="P12" s="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7"/>
      <c r="C13" s="7"/>
      <c r="D13" s="7"/>
      <c r="E13" s="7"/>
      <c r="F13" s="7"/>
      <c r="G13" s="7">
        <f>SUM(G9:G12)</f>
        <v>28</v>
      </c>
      <c r="H13" s="7"/>
      <c r="I13" s="7"/>
      <c r="J13" s="7"/>
      <c r="K13" s="7"/>
      <c r="L13" s="7"/>
      <c r="M13" s="7"/>
      <c r="N13" s="7"/>
      <c r="O13" s="7"/>
      <c r="P13" s="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6" t="s">
        <v>1</v>
      </c>
      <c r="C14" s="6" t="s">
        <v>2</v>
      </c>
      <c r="D14" s="6" t="s">
        <v>3</v>
      </c>
      <c r="E14" s="6" t="s">
        <v>23</v>
      </c>
      <c r="F14" s="6" t="s">
        <v>5</v>
      </c>
      <c r="G14" s="6" t="s">
        <v>6</v>
      </c>
      <c r="H14" s="7"/>
      <c r="I14" s="7"/>
      <c r="J14" s="7"/>
      <c r="K14" s="7"/>
      <c r="L14" s="7"/>
      <c r="M14" s="7"/>
      <c r="N14" s="7"/>
      <c r="O14" s="12" t="s">
        <v>24</v>
      </c>
      <c r="P14" s="16">
        <f>SUM(N11,P11)</f>
        <v>7872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8" t="s">
        <v>25</v>
      </c>
      <c r="C15" s="9" t="s">
        <v>26</v>
      </c>
      <c r="D15" s="9">
        <v>2.0</v>
      </c>
      <c r="E15" s="9">
        <v>1.0</v>
      </c>
      <c r="F15" s="9" t="s">
        <v>9</v>
      </c>
      <c r="G15" s="10">
        <v>3.0</v>
      </c>
      <c r="H15" s="7"/>
      <c r="I15" s="7"/>
      <c r="J15" s="7"/>
      <c r="K15" s="7"/>
      <c r="L15" s="7"/>
      <c r="M15" s="7"/>
      <c r="N15" s="7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13" t="s">
        <v>27</v>
      </c>
      <c r="C16" s="14" t="s">
        <v>26</v>
      </c>
      <c r="D16" s="14">
        <v>2.0</v>
      </c>
      <c r="E16" s="14">
        <v>1.0</v>
      </c>
      <c r="F16" s="14" t="s">
        <v>9</v>
      </c>
      <c r="G16" s="15">
        <v>3.0</v>
      </c>
      <c r="H16" s="7"/>
      <c r="I16" s="7"/>
      <c r="J16" s="7"/>
      <c r="K16" s="7"/>
      <c r="L16" s="7"/>
      <c r="M16" s="7"/>
      <c r="N16" s="7"/>
      <c r="O16" s="7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13" t="s">
        <v>28</v>
      </c>
      <c r="C17" s="14" t="s">
        <v>26</v>
      </c>
      <c r="D17" s="14">
        <v>2.0</v>
      </c>
      <c r="E17" s="14">
        <v>1.0</v>
      </c>
      <c r="F17" s="14" t="s">
        <v>9</v>
      </c>
      <c r="G17" s="15">
        <v>3.0</v>
      </c>
      <c r="H17" s="7"/>
      <c r="I17" s="7"/>
      <c r="J17" s="7"/>
      <c r="K17" s="7"/>
      <c r="L17" s="7"/>
      <c r="M17" s="7"/>
      <c r="N17" s="7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13" t="s">
        <v>29</v>
      </c>
      <c r="C18" s="14" t="s">
        <v>30</v>
      </c>
      <c r="D18" s="14">
        <v>2.0</v>
      </c>
      <c r="E18" s="14">
        <v>1.0</v>
      </c>
      <c r="F18" s="14" t="s">
        <v>9</v>
      </c>
      <c r="G18" s="15">
        <v>3.0</v>
      </c>
      <c r="H18" s="7"/>
      <c r="I18" s="7"/>
      <c r="J18" s="7"/>
      <c r="K18" s="7"/>
      <c r="L18" s="7"/>
      <c r="M18" s="7"/>
      <c r="N18" s="7"/>
      <c r="O18" s="7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13"/>
      <c r="C19" s="21"/>
      <c r="D19" s="21"/>
      <c r="E19" s="14"/>
      <c r="F19" s="21"/>
      <c r="G19" s="22"/>
      <c r="H19" s="7"/>
      <c r="I19" s="7"/>
      <c r="J19" s="23"/>
      <c r="K19" s="7"/>
      <c r="L19" s="7"/>
      <c r="M19" s="7"/>
      <c r="N19" s="7"/>
      <c r="O19" s="7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13" t="s">
        <v>31</v>
      </c>
      <c r="C20" s="14" t="s">
        <v>26</v>
      </c>
      <c r="D20" s="14">
        <v>2.0</v>
      </c>
      <c r="E20" s="14">
        <v>1.0</v>
      </c>
      <c r="F20" s="14" t="s">
        <v>9</v>
      </c>
      <c r="G20" s="15">
        <v>3.0</v>
      </c>
      <c r="H20" s="7"/>
      <c r="I20" s="7"/>
      <c r="J20" s="24"/>
      <c r="K20" s="7"/>
      <c r="L20" s="7"/>
      <c r="M20" s="7"/>
      <c r="N20" s="7"/>
      <c r="O20" s="7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13" t="s">
        <v>32</v>
      </c>
      <c r="C21" s="14" t="s">
        <v>26</v>
      </c>
      <c r="D21" s="14">
        <v>2.0</v>
      </c>
      <c r="E21" s="14">
        <v>1.0</v>
      </c>
      <c r="F21" s="14" t="s">
        <v>9</v>
      </c>
      <c r="G21" s="15">
        <v>3.0</v>
      </c>
      <c r="H21" s="7"/>
      <c r="I21" s="7"/>
      <c r="J21" s="7"/>
      <c r="K21" s="7"/>
      <c r="L21" s="7"/>
      <c r="M21" s="7"/>
      <c r="N21" s="7"/>
      <c r="O21" s="7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13" t="s">
        <v>33</v>
      </c>
      <c r="C22" s="14" t="s">
        <v>26</v>
      </c>
      <c r="D22" s="14">
        <v>2.0</v>
      </c>
      <c r="E22" s="14">
        <v>1.0</v>
      </c>
      <c r="F22" s="14" t="s">
        <v>9</v>
      </c>
      <c r="G22" s="15">
        <v>3.0</v>
      </c>
      <c r="H22" s="7"/>
      <c r="I22" s="7"/>
      <c r="J22" s="7"/>
      <c r="K22" s="7"/>
      <c r="L22" s="7"/>
      <c r="M22" s="7"/>
      <c r="N22" s="7"/>
      <c r="O22" s="7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13" t="s">
        <v>34</v>
      </c>
      <c r="C23" s="14" t="s">
        <v>30</v>
      </c>
      <c r="D23" s="14">
        <v>2.0</v>
      </c>
      <c r="E23" s="14">
        <v>1.0</v>
      </c>
      <c r="F23" s="14" t="s">
        <v>9</v>
      </c>
      <c r="G23" s="15">
        <v>3.0</v>
      </c>
      <c r="H23" s="7"/>
      <c r="I23" s="7"/>
      <c r="J23" s="7"/>
      <c r="K23" s="7"/>
      <c r="L23" s="7"/>
      <c r="M23" s="7"/>
      <c r="N23" s="7"/>
      <c r="O23" s="7"/>
      <c r="P23" s="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5"/>
      <c r="C24" s="21"/>
      <c r="D24" s="21"/>
      <c r="E24" s="14"/>
      <c r="F24" s="21"/>
      <c r="G24" s="22"/>
      <c r="H24" s="7"/>
      <c r="I24" s="7"/>
      <c r="J24" s="7"/>
      <c r="K24" s="7"/>
      <c r="L24" s="7"/>
      <c r="M24" s="7"/>
      <c r="N24" s="7"/>
      <c r="O24" s="7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13" t="s">
        <v>35</v>
      </c>
      <c r="C25" s="14" t="s">
        <v>26</v>
      </c>
      <c r="D25" s="14">
        <v>2.0</v>
      </c>
      <c r="E25" s="14">
        <v>1.0</v>
      </c>
      <c r="F25" s="14" t="s">
        <v>9</v>
      </c>
      <c r="G25" s="15">
        <v>3.0</v>
      </c>
      <c r="H25" s="7"/>
      <c r="I25" s="7"/>
      <c r="J25" s="7"/>
      <c r="K25" s="7"/>
      <c r="L25" s="7"/>
      <c r="M25" s="7"/>
      <c r="N25" s="7"/>
      <c r="O25" s="7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13" t="s">
        <v>36</v>
      </c>
      <c r="C26" s="14" t="s">
        <v>26</v>
      </c>
      <c r="D26" s="14">
        <v>2.0</v>
      </c>
      <c r="E26" s="14">
        <v>1.0</v>
      </c>
      <c r="F26" s="14" t="s">
        <v>9</v>
      </c>
      <c r="G26" s="15">
        <v>3.0</v>
      </c>
      <c r="H26" s="7"/>
      <c r="I26" s="26"/>
      <c r="J26" s="7"/>
      <c r="K26" s="7"/>
      <c r="L26" s="7"/>
      <c r="M26" s="7"/>
      <c r="N26" s="7"/>
      <c r="O26" s="7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13" t="s">
        <v>37</v>
      </c>
      <c r="C27" s="14" t="s">
        <v>26</v>
      </c>
      <c r="D27" s="14">
        <v>2.0</v>
      </c>
      <c r="E27" s="14">
        <v>1.0</v>
      </c>
      <c r="F27" s="14" t="s">
        <v>9</v>
      </c>
      <c r="G27" s="15">
        <v>3.0</v>
      </c>
      <c r="H27" s="7"/>
      <c r="I27" s="27"/>
      <c r="J27" s="7"/>
      <c r="K27" s="7"/>
      <c r="L27" s="7"/>
      <c r="M27" s="7"/>
      <c r="N27" s="7"/>
      <c r="O27" s="7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13" t="s">
        <v>38</v>
      </c>
      <c r="C28" s="14" t="s">
        <v>30</v>
      </c>
      <c r="D28" s="14">
        <v>2.0</v>
      </c>
      <c r="E28" s="14">
        <v>1.0</v>
      </c>
      <c r="F28" s="14" t="s">
        <v>9</v>
      </c>
      <c r="G28" s="15">
        <v>3.0</v>
      </c>
      <c r="H28" s="7"/>
      <c r="I28" s="7"/>
      <c r="J28" s="7"/>
      <c r="K28" s="7"/>
      <c r="L28" s="7"/>
      <c r="M28" s="7"/>
      <c r="N28" s="7"/>
      <c r="O28" s="7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5"/>
      <c r="C29" s="21"/>
      <c r="D29" s="21"/>
      <c r="E29" s="14"/>
      <c r="F29" s="21"/>
      <c r="G29" s="22"/>
      <c r="H29" s="7"/>
      <c r="I29" s="7"/>
      <c r="J29" s="7"/>
      <c r="K29" s="7"/>
      <c r="L29" s="7"/>
      <c r="M29" s="7"/>
      <c r="N29" s="7"/>
      <c r="O29" s="7"/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13" t="s">
        <v>39</v>
      </c>
      <c r="C30" s="14" t="s">
        <v>26</v>
      </c>
      <c r="D30" s="14">
        <v>5.0</v>
      </c>
      <c r="E30" s="14">
        <v>1.0</v>
      </c>
      <c r="F30" s="14" t="s">
        <v>9</v>
      </c>
      <c r="G30" s="15">
        <v>3.0</v>
      </c>
      <c r="H30" s="7"/>
      <c r="I30" s="7"/>
      <c r="J30" s="7"/>
      <c r="K30" s="7"/>
      <c r="L30" s="7"/>
      <c r="M30" s="7"/>
      <c r="N30" s="7"/>
      <c r="O30" s="7"/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13" t="s">
        <v>40</v>
      </c>
      <c r="C31" s="14" t="s">
        <v>26</v>
      </c>
      <c r="D31" s="14">
        <v>4.0</v>
      </c>
      <c r="E31" s="14">
        <v>1.0</v>
      </c>
      <c r="F31" s="14" t="s">
        <v>9</v>
      </c>
      <c r="G31" s="15">
        <v>3.0</v>
      </c>
      <c r="H31" s="7"/>
      <c r="I31" s="7"/>
      <c r="J31" s="7"/>
      <c r="K31" s="7"/>
      <c r="L31" s="7"/>
      <c r="M31" s="7"/>
      <c r="N31" s="7"/>
      <c r="O31" s="7"/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13" t="s">
        <v>41</v>
      </c>
      <c r="C32" s="14" t="s">
        <v>26</v>
      </c>
      <c r="D32" s="14">
        <v>5.0</v>
      </c>
      <c r="E32" s="14">
        <v>1.0</v>
      </c>
      <c r="F32" s="14" t="s">
        <v>9</v>
      </c>
      <c r="G32" s="15">
        <v>3.0</v>
      </c>
      <c r="H32" s="7"/>
      <c r="I32" s="7"/>
      <c r="J32" s="7"/>
      <c r="K32" s="7"/>
      <c r="L32" s="7"/>
      <c r="M32" s="7"/>
      <c r="N32" s="7"/>
      <c r="O32" s="7"/>
      <c r="P32" s="7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13" t="s">
        <v>42</v>
      </c>
      <c r="C33" s="14" t="s">
        <v>30</v>
      </c>
      <c r="D33" s="14">
        <v>5.0</v>
      </c>
      <c r="E33" s="14">
        <v>1.0</v>
      </c>
      <c r="F33" s="14" t="s">
        <v>9</v>
      </c>
      <c r="G33" s="15">
        <v>3.0</v>
      </c>
      <c r="H33" s="7"/>
      <c r="I33" s="7"/>
      <c r="J33" s="7"/>
      <c r="K33" s="7"/>
      <c r="L33" s="7"/>
      <c r="M33" s="7"/>
      <c r="N33" s="7"/>
      <c r="O33" s="7"/>
      <c r="P33" s="7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13"/>
      <c r="C34" s="21"/>
      <c r="D34" s="21"/>
      <c r="E34" s="14"/>
      <c r="F34" s="21"/>
      <c r="G34" s="22"/>
      <c r="H34" s="7"/>
      <c r="I34" s="7"/>
      <c r="J34" s="7"/>
      <c r="K34" s="7"/>
      <c r="L34" s="7"/>
      <c r="M34" s="7"/>
      <c r="N34" s="7"/>
      <c r="O34" s="7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13" t="s">
        <v>43</v>
      </c>
      <c r="C35" s="14" t="s">
        <v>44</v>
      </c>
      <c r="D35" s="14">
        <v>5.0</v>
      </c>
      <c r="E35" s="14">
        <v>1.0</v>
      </c>
      <c r="F35" s="14" t="s">
        <v>9</v>
      </c>
      <c r="G35" s="15">
        <v>3.0</v>
      </c>
      <c r="H35" s="7"/>
      <c r="I35" s="7"/>
      <c r="J35" s="7"/>
      <c r="K35" s="7"/>
      <c r="L35" s="7"/>
      <c r="M35" s="7"/>
      <c r="N35" s="7"/>
      <c r="O35" s="7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17" t="s">
        <v>45</v>
      </c>
      <c r="C36" s="18" t="s">
        <v>44</v>
      </c>
      <c r="D36" s="18">
        <v>5.0</v>
      </c>
      <c r="E36" s="18">
        <v>1.0</v>
      </c>
      <c r="F36" s="18" t="s">
        <v>9</v>
      </c>
      <c r="G36" s="19">
        <v>3.0</v>
      </c>
      <c r="H36" s="7"/>
      <c r="I36" s="7"/>
      <c r="J36" s="7"/>
      <c r="K36" s="7"/>
      <c r="L36" s="7"/>
      <c r="M36" s="7"/>
      <c r="N36" s="7"/>
      <c r="O36" s="7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7"/>
      <c r="C37" s="7"/>
      <c r="D37" s="7"/>
      <c r="E37" s="7"/>
      <c r="F37" s="7"/>
      <c r="G37" s="7">
        <f>SUM(G15:G36)</f>
        <v>54</v>
      </c>
      <c r="H37" s="7"/>
      <c r="I37" s="7"/>
      <c r="J37" s="7"/>
      <c r="K37" s="7"/>
      <c r="L37" s="7"/>
      <c r="M37" s="7"/>
      <c r="N37" s="7"/>
      <c r="O37" s="7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7"/>
      <c r="C38" s="7"/>
      <c r="D38" s="7"/>
      <c r="E38" s="7"/>
      <c r="F38" s="7"/>
      <c r="G38" s="28">
        <f>SUM(G13,G37)</f>
        <v>82</v>
      </c>
      <c r="H38" s="29" t="s">
        <v>46</v>
      </c>
      <c r="I38" s="7"/>
      <c r="J38" s="7"/>
      <c r="K38" s="7"/>
      <c r="L38" s="7"/>
      <c r="M38" s="7"/>
      <c r="N38" s="7"/>
      <c r="O38" s="7"/>
      <c r="P38" s="7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</sheetData>
  <mergeCells count="2">
    <mergeCell ref="A1:B4"/>
    <mergeCell ref="J9:K9"/>
  </mergeCells>
  <drawing r:id="rId1"/>
  <tableParts count="2">
    <tablePart r:id="rId4"/>
    <tablePart r:id="rId5"/>
  </tableParts>
</worksheet>
</file>