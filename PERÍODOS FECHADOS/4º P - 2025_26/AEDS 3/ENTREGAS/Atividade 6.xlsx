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V4" i="1" l="1"/>
  <c r="V5" i="1"/>
  <c r="V6" i="1"/>
  <c r="V3" i="1"/>
  <c r="T4" i="1"/>
  <c r="T5" i="1"/>
  <c r="T6" i="1"/>
  <c r="T3" i="1"/>
  <c r="S4" i="1"/>
  <c r="S5" i="1"/>
  <c r="S6" i="1"/>
  <c r="S3" i="1"/>
  <c r="R4" i="1" l="1"/>
  <c r="R5" i="1"/>
  <c r="R6" i="1"/>
  <c r="R3" i="1"/>
</calcChain>
</file>

<file path=xl/sharedStrings.xml><?xml version="1.0" encoding="utf-8"?>
<sst xmlns="http://schemas.openxmlformats.org/spreadsheetml/2006/main" count="34" uniqueCount="31">
  <si>
    <t>Espaço de endereçamento</t>
  </si>
  <si>
    <t>Espaço de memória</t>
  </si>
  <si>
    <t>Endereço de memória virtual</t>
  </si>
  <si>
    <t>Total</t>
  </si>
  <si>
    <t>Página</t>
  </si>
  <si>
    <t>Byte da página</t>
  </si>
  <si>
    <t>Tabela de páginas</t>
  </si>
  <si>
    <t>Página 0</t>
  </si>
  <si>
    <t>Página 1</t>
  </si>
  <si>
    <t>Página 2</t>
  </si>
  <si>
    <t>Página 3</t>
  </si>
  <si>
    <t>Página 4</t>
  </si>
  <si>
    <t>Página 5</t>
  </si>
  <si>
    <t>Página 6</t>
  </si>
  <si>
    <t>Página 7</t>
  </si>
  <si>
    <t>Moldura</t>
  </si>
  <si>
    <t>Exemplos de acesso</t>
  </si>
  <si>
    <t>Endereço</t>
  </si>
  <si>
    <t>Binário</t>
  </si>
  <si>
    <t>Byte</t>
  </si>
  <si>
    <t>Real</t>
  </si>
  <si>
    <t>Estratégia de troca</t>
  </si>
  <si>
    <t>Páginas na memória secundária</t>
  </si>
  <si>
    <t>Menos recentemente usada</t>
  </si>
  <si>
    <t>Tam. Bloco</t>
  </si>
  <si>
    <t>3bits</t>
  </si>
  <si>
    <t>2bits</t>
  </si>
  <si>
    <t>Moldura 0
Página 1</t>
  </si>
  <si>
    <t>Moldura 1
Página 5</t>
  </si>
  <si>
    <t>Moldura 2
Página 7</t>
  </si>
  <si>
    <t>Moldura 3
Página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</si>
</sst>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0" xfId="0" applyBorder="1" applyAlignment="1">
      <alignment horizontal="left" vertical="top"/>
    </xf>
    <xf numFmtId="0" fontId="1" fillId="0" borderId="3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tabSelected="1" zoomScale="115" zoomScaleNormal="115" workbookViewId="0">
      <selection activeCell="AA39" sqref="AA39"/>
    </sheetView>
  </sheetViews>
  <sheetFormatPr defaultRowHeight="15" x14ac:dyDescent="0.25"/>
  <cols>
    <col min="1" max="1" width="9.140625" style="20"/>
    <col min="2" max="2" width="11.140625" customWidth="1"/>
    <col min="3" max="3" width="14.85546875" customWidth="1"/>
    <col min="4" max="4" width="5.5703125" customWidth="1"/>
    <col min="5" max="5" width="6" customWidth="1"/>
    <col min="6" max="6" width="12.42578125" customWidth="1"/>
    <col min="7" max="7" width="4.28515625" customWidth="1"/>
    <col min="8" max="8" width="18.85546875" customWidth="1"/>
    <col min="9" max="9" width="0.42578125" customWidth="1"/>
    <col min="10" max="10" width="4.7109375" customWidth="1"/>
    <col min="11" max="11" width="15.28515625" customWidth="1"/>
    <col min="12" max="12" width="11.42578125" customWidth="1"/>
    <col min="13" max="13" width="4.28515625" customWidth="1"/>
    <col min="14" max="14" width="6.85546875" bestFit="1" customWidth="1"/>
    <col min="15" max="15" width="11.140625" customWidth="1"/>
    <col min="16" max="16" width="4.5703125" customWidth="1"/>
    <col min="17" max="17" width="9.28515625" bestFit="1" customWidth="1"/>
    <col min="18" max="19" width="8.5703125" bestFit="1" customWidth="1"/>
    <col min="20" max="20" width="7" customWidth="1"/>
    <col min="21" max="21" width="8.5703125" bestFit="1" customWidth="1"/>
    <col min="22" max="22" width="8.5703125" customWidth="1"/>
    <col min="23" max="23" width="4.28515625" customWidth="1"/>
  </cols>
  <sheetData>
    <row r="1" spans="2:26" ht="31.5" customHeight="1" thickBot="1" x14ac:dyDescent="0.3">
      <c r="B1" s="21" t="s">
        <v>0</v>
      </c>
      <c r="C1" s="22"/>
      <c r="E1" s="15" t="s">
        <v>1</v>
      </c>
      <c r="F1" s="17"/>
      <c r="H1" s="15" t="s">
        <v>22</v>
      </c>
      <c r="I1" s="17"/>
      <c r="K1" s="15" t="s">
        <v>2</v>
      </c>
      <c r="L1" s="17"/>
      <c r="N1" s="15" t="s">
        <v>6</v>
      </c>
      <c r="O1" s="17"/>
      <c r="Q1" s="15" t="s">
        <v>16</v>
      </c>
      <c r="R1" s="16"/>
      <c r="S1" s="16"/>
      <c r="T1" s="16"/>
      <c r="U1" s="16"/>
      <c r="V1" s="17"/>
      <c r="X1" s="15" t="s">
        <v>21</v>
      </c>
      <c r="Y1" s="16"/>
      <c r="Z1" s="17"/>
    </row>
    <row r="2" spans="2:26" x14ac:dyDescent="0.25">
      <c r="B2" s="3">
        <v>0</v>
      </c>
      <c r="C2" s="12" t="s">
        <v>7</v>
      </c>
      <c r="E2" s="3">
        <v>0</v>
      </c>
      <c r="F2" s="23" t="s">
        <v>27</v>
      </c>
      <c r="H2" s="19"/>
      <c r="I2" s="19"/>
      <c r="K2" s="10" t="s">
        <v>24</v>
      </c>
      <c r="L2" s="1">
        <v>4</v>
      </c>
      <c r="N2" s="9" t="s">
        <v>4</v>
      </c>
      <c r="O2" s="9" t="s">
        <v>15</v>
      </c>
      <c r="Q2" s="4" t="s">
        <v>17</v>
      </c>
      <c r="R2" s="4" t="s">
        <v>18</v>
      </c>
      <c r="S2" s="4" t="s">
        <v>4</v>
      </c>
      <c r="T2" s="4" t="s">
        <v>19</v>
      </c>
      <c r="U2" s="11" t="s">
        <v>15</v>
      </c>
      <c r="V2" s="5" t="s">
        <v>20</v>
      </c>
      <c r="X2" s="18" t="s">
        <v>23</v>
      </c>
      <c r="Y2" s="18"/>
      <c r="Z2" s="18"/>
    </row>
    <row r="3" spans="2:26" x14ac:dyDescent="0.25">
      <c r="B3" s="3">
        <v>1</v>
      </c>
      <c r="C3" s="13"/>
      <c r="E3" s="2">
        <v>1</v>
      </c>
      <c r="F3" s="13"/>
      <c r="H3" s="19"/>
      <c r="I3" s="19"/>
      <c r="K3" s="10" t="s">
        <v>3</v>
      </c>
      <c r="L3" s="1">
        <v>32</v>
      </c>
      <c r="N3" s="1">
        <v>0</v>
      </c>
      <c r="O3" s="1">
        <v>3</v>
      </c>
      <c r="Q3" s="1">
        <v>12</v>
      </c>
      <c r="R3" s="1" t="str">
        <f>DEC2BIN(Q3,5)</f>
        <v>01100</v>
      </c>
      <c r="S3" s="1">
        <f>BIN2DEC(LEFT(R3,3))</f>
        <v>3</v>
      </c>
      <c r="T3" s="1">
        <f>BIN2DEC(RIGHT(R3,2))</f>
        <v>0</v>
      </c>
      <c r="U3" s="1">
        <v>0</v>
      </c>
      <c r="V3" s="1">
        <f>U3*4+T3</f>
        <v>0</v>
      </c>
    </row>
    <row r="4" spans="2:26" x14ac:dyDescent="0.25">
      <c r="B4" s="3">
        <v>2</v>
      </c>
      <c r="C4" s="13"/>
      <c r="E4" s="2">
        <v>2</v>
      </c>
      <c r="F4" s="13"/>
      <c r="H4" s="19"/>
      <c r="I4" s="19"/>
      <c r="K4" s="10" t="s">
        <v>4</v>
      </c>
      <c r="L4" s="1" t="s">
        <v>25</v>
      </c>
      <c r="N4" s="1">
        <v>1</v>
      </c>
      <c r="O4" s="1">
        <v>0</v>
      </c>
      <c r="Q4" s="1">
        <v>22</v>
      </c>
      <c r="R4" s="1" t="str">
        <f t="shared" ref="R4:R6" si="0">DEC2BIN(Q4,5)</f>
        <v>10110</v>
      </c>
      <c r="S4" s="1">
        <f t="shared" ref="S4:S6" si="1">BIN2DEC(LEFT(R4,3))</f>
        <v>5</v>
      </c>
      <c r="T4" s="1">
        <f t="shared" ref="T4:T6" si="2">BIN2DEC(RIGHT(R4,2))</f>
        <v>2</v>
      </c>
      <c r="U4" s="1">
        <v>1</v>
      </c>
      <c r="V4" s="1">
        <f t="shared" ref="V4:V6" si="3">U4*4+T4</f>
        <v>6</v>
      </c>
    </row>
    <row r="5" spans="2:26" ht="15.75" thickBot="1" x14ac:dyDescent="0.3">
      <c r="B5" s="3">
        <v>3</v>
      </c>
      <c r="C5" s="14"/>
      <c r="E5" s="2">
        <v>3</v>
      </c>
      <c r="F5" s="14"/>
      <c r="H5" s="19"/>
      <c r="I5" s="19"/>
      <c r="K5" s="10" t="s">
        <v>5</v>
      </c>
      <c r="L5" s="1" t="s">
        <v>26</v>
      </c>
      <c r="N5" s="1">
        <v>2</v>
      </c>
      <c r="O5" s="1"/>
      <c r="Q5" s="1">
        <v>29</v>
      </c>
      <c r="R5" s="1" t="str">
        <f t="shared" si="0"/>
        <v>11101</v>
      </c>
      <c r="S5" s="1">
        <f t="shared" si="1"/>
        <v>7</v>
      </c>
      <c r="T5" s="1">
        <f t="shared" si="2"/>
        <v>1</v>
      </c>
      <c r="U5" s="1">
        <v>2</v>
      </c>
      <c r="V5" s="1">
        <f t="shared" si="3"/>
        <v>9</v>
      </c>
    </row>
    <row r="6" spans="2:26" x14ac:dyDescent="0.25">
      <c r="B6" s="3">
        <v>4</v>
      </c>
      <c r="C6" s="12" t="s">
        <v>8</v>
      </c>
      <c r="E6" s="2">
        <v>4</v>
      </c>
      <c r="F6" s="24" t="s">
        <v>28</v>
      </c>
      <c r="H6" s="19"/>
      <c r="I6" s="19"/>
      <c r="N6" s="1">
        <v>3</v>
      </c>
      <c r="O6" s="1"/>
      <c r="Q6" s="1">
        <v>3</v>
      </c>
      <c r="R6" s="1" t="str">
        <f t="shared" si="0"/>
        <v>00011</v>
      </c>
      <c r="S6" s="1">
        <f t="shared" si="1"/>
        <v>0</v>
      </c>
      <c r="T6" s="1">
        <f t="shared" si="2"/>
        <v>3</v>
      </c>
      <c r="U6" s="1">
        <v>3</v>
      </c>
      <c r="V6" s="1">
        <f t="shared" si="3"/>
        <v>15</v>
      </c>
    </row>
    <row r="7" spans="2:26" x14ac:dyDescent="0.25">
      <c r="B7" s="3">
        <v>5</v>
      </c>
      <c r="C7" s="13"/>
      <c r="E7" s="2">
        <v>5</v>
      </c>
      <c r="F7" s="13"/>
      <c r="H7" s="19"/>
      <c r="I7" s="19"/>
      <c r="N7" s="1">
        <v>4</v>
      </c>
      <c r="O7" s="1"/>
      <c r="Q7" s="1"/>
      <c r="R7" s="1"/>
      <c r="S7" s="1"/>
      <c r="T7" s="1"/>
      <c r="U7" s="1"/>
      <c r="V7" s="1"/>
    </row>
    <row r="8" spans="2:26" x14ac:dyDescent="0.25">
      <c r="B8" s="3">
        <v>6</v>
      </c>
      <c r="C8" s="13"/>
      <c r="E8" s="2">
        <v>6</v>
      </c>
      <c r="F8" s="13"/>
      <c r="H8" s="19"/>
      <c r="I8" s="19"/>
      <c r="N8" s="1">
        <v>5</v>
      </c>
      <c r="O8" s="1">
        <v>1</v>
      </c>
      <c r="Q8" s="6"/>
      <c r="R8" s="6"/>
      <c r="S8" s="6"/>
      <c r="T8" s="6"/>
      <c r="U8" s="1"/>
      <c r="V8" s="1"/>
    </row>
    <row r="9" spans="2:26" ht="15.75" thickBot="1" x14ac:dyDescent="0.3">
      <c r="B9" s="3">
        <v>7</v>
      </c>
      <c r="C9" s="14"/>
      <c r="E9" s="2">
        <v>7</v>
      </c>
      <c r="F9" s="14"/>
      <c r="H9" s="19"/>
      <c r="I9" s="19"/>
      <c r="N9" s="1">
        <v>6</v>
      </c>
      <c r="O9" s="1"/>
      <c r="Q9" s="6"/>
      <c r="R9" s="6"/>
      <c r="S9" s="6"/>
      <c r="T9" s="6"/>
      <c r="U9" s="1"/>
      <c r="V9" s="1"/>
    </row>
    <row r="10" spans="2:26" x14ac:dyDescent="0.25">
      <c r="B10" s="3">
        <v>8</v>
      </c>
      <c r="C10" s="12" t="s">
        <v>9</v>
      </c>
      <c r="E10" s="2">
        <v>8</v>
      </c>
      <c r="F10" s="24" t="s">
        <v>29</v>
      </c>
      <c r="H10" s="19"/>
      <c r="I10" s="19"/>
      <c r="N10" s="1">
        <v>7</v>
      </c>
      <c r="O10" s="1">
        <v>2</v>
      </c>
      <c r="Q10" s="6"/>
      <c r="R10" s="6"/>
      <c r="S10" s="6"/>
      <c r="T10" s="6"/>
      <c r="U10" s="6"/>
      <c r="V10" s="6"/>
    </row>
    <row r="11" spans="2:26" x14ac:dyDescent="0.25">
      <c r="B11" s="3">
        <v>9</v>
      </c>
      <c r="C11" s="13"/>
      <c r="E11" s="2">
        <v>9</v>
      </c>
      <c r="F11" s="13"/>
      <c r="H11" s="19"/>
      <c r="I11" s="19"/>
    </row>
    <row r="12" spans="2:26" x14ac:dyDescent="0.25">
      <c r="B12" s="3">
        <v>10</v>
      </c>
      <c r="C12" s="13"/>
      <c r="E12" s="2">
        <v>10</v>
      </c>
      <c r="F12" s="13"/>
      <c r="H12" s="19"/>
      <c r="I12" s="19"/>
    </row>
    <row r="13" spans="2:26" ht="15.75" thickBot="1" x14ac:dyDescent="0.3">
      <c r="B13" s="3">
        <v>11</v>
      </c>
      <c r="C13" s="14"/>
      <c r="E13" s="2">
        <v>11</v>
      </c>
      <c r="F13" s="14"/>
      <c r="H13" s="19"/>
      <c r="I13" s="19"/>
    </row>
    <row r="14" spans="2:26" x14ac:dyDescent="0.25">
      <c r="B14" s="3">
        <v>12</v>
      </c>
      <c r="C14" s="12" t="s">
        <v>10</v>
      </c>
      <c r="E14" s="2">
        <v>12</v>
      </c>
      <c r="F14" s="24" t="s">
        <v>30</v>
      </c>
      <c r="H14" s="19"/>
      <c r="I14" s="19"/>
    </row>
    <row r="15" spans="2:26" x14ac:dyDescent="0.25">
      <c r="B15" s="3">
        <v>13</v>
      </c>
      <c r="C15" s="13"/>
      <c r="E15" s="2">
        <v>13</v>
      </c>
      <c r="F15" s="13"/>
      <c r="H15" s="19"/>
      <c r="I15" s="19"/>
    </row>
    <row r="16" spans="2:26" x14ac:dyDescent="0.25">
      <c r="B16" s="3">
        <v>14</v>
      </c>
      <c r="C16" s="13"/>
      <c r="E16" s="2">
        <v>14</v>
      </c>
      <c r="F16" s="13"/>
      <c r="H16" s="19"/>
      <c r="I16" s="19"/>
      <c r="Q16" s="7"/>
    </row>
    <row r="17" spans="2:9" ht="15.75" thickBot="1" x14ac:dyDescent="0.3">
      <c r="B17" s="3">
        <v>15</v>
      </c>
      <c r="C17" s="14"/>
      <c r="E17" s="2">
        <v>15</v>
      </c>
      <c r="F17" s="14"/>
      <c r="H17" s="19"/>
      <c r="I17" s="19"/>
    </row>
    <row r="18" spans="2:9" x14ac:dyDescent="0.25">
      <c r="B18" s="3">
        <v>16</v>
      </c>
      <c r="C18" s="12" t="s">
        <v>11</v>
      </c>
      <c r="H18" s="8"/>
      <c r="I18" s="8"/>
    </row>
    <row r="19" spans="2:9" x14ac:dyDescent="0.25">
      <c r="B19" s="3">
        <v>17</v>
      </c>
      <c r="C19" s="13"/>
      <c r="H19" s="8"/>
      <c r="I19" s="8"/>
    </row>
    <row r="20" spans="2:9" x14ac:dyDescent="0.25">
      <c r="B20" s="3">
        <v>18</v>
      </c>
      <c r="C20" s="13"/>
      <c r="H20" s="8"/>
      <c r="I20" s="8"/>
    </row>
    <row r="21" spans="2:9" ht="15.75" thickBot="1" x14ac:dyDescent="0.3">
      <c r="B21" s="3">
        <v>19</v>
      </c>
      <c r="C21" s="14"/>
      <c r="H21" s="8"/>
      <c r="I21" s="8"/>
    </row>
    <row r="22" spans="2:9" x14ac:dyDescent="0.25">
      <c r="B22" s="3">
        <v>20</v>
      </c>
      <c r="C22" s="12" t="s">
        <v>12</v>
      </c>
      <c r="H22" s="8"/>
      <c r="I22" s="8"/>
    </row>
    <row r="23" spans="2:9" x14ac:dyDescent="0.25">
      <c r="B23" s="3">
        <v>21</v>
      </c>
      <c r="C23" s="13"/>
      <c r="H23" s="8"/>
      <c r="I23" s="8"/>
    </row>
    <row r="24" spans="2:9" x14ac:dyDescent="0.25">
      <c r="B24" s="3">
        <v>22</v>
      </c>
      <c r="C24" s="13"/>
      <c r="H24" s="8"/>
      <c r="I24" s="8"/>
    </row>
    <row r="25" spans="2:9" ht="15.75" thickBot="1" x14ac:dyDescent="0.3">
      <c r="B25" s="3">
        <v>23</v>
      </c>
      <c r="C25" s="14"/>
      <c r="H25" s="8"/>
      <c r="I25" s="8"/>
    </row>
    <row r="26" spans="2:9" x14ac:dyDescent="0.25">
      <c r="B26" s="3">
        <v>24</v>
      </c>
      <c r="C26" s="12" t="s">
        <v>13</v>
      </c>
      <c r="H26" s="8"/>
      <c r="I26" s="8"/>
    </row>
    <row r="27" spans="2:9" x14ac:dyDescent="0.25">
      <c r="B27" s="3">
        <v>25</v>
      </c>
      <c r="C27" s="13"/>
      <c r="H27" s="8"/>
      <c r="I27" s="8"/>
    </row>
    <row r="28" spans="2:9" x14ac:dyDescent="0.25">
      <c r="B28" s="3">
        <v>26</v>
      </c>
      <c r="C28" s="13"/>
      <c r="H28" s="8"/>
      <c r="I28" s="8"/>
    </row>
    <row r="29" spans="2:9" ht="15.75" thickBot="1" x14ac:dyDescent="0.3">
      <c r="B29" s="3">
        <v>27</v>
      </c>
      <c r="C29" s="14"/>
      <c r="H29" s="8"/>
      <c r="I29" s="8"/>
    </row>
    <row r="30" spans="2:9" x14ac:dyDescent="0.25">
      <c r="B30" s="3">
        <v>28</v>
      </c>
      <c r="C30" s="12" t="s">
        <v>14</v>
      </c>
      <c r="H30" s="8"/>
      <c r="I30" s="8"/>
    </row>
    <row r="31" spans="2:9" x14ac:dyDescent="0.25">
      <c r="B31" s="3">
        <v>29</v>
      </c>
      <c r="C31" s="13"/>
      <c r="H31" s="8"/>
      <c r="I31" s="8"/>
    </row>
    <row r="32" spans="2:9" x14ac:dyDescent="0.25">
      <c r="B32" s="3">
        <v>30</v>
      </c>
      <c r="C32" s="13"/>
      <c r="H32" s="8"/>
      <c r="I32" s="8"/>
    </row>
    <row r="33" spans="2:9" ht="15.75" thickBot="1" x14ac:dyDescent="0.3">
      <c r="B33" s="3">
        <v>31</v>
      </c>
      <c r="C33" s="14"/>
      <c r="H33" s="8"/>
      <c r="I33" s="8"/>
    </row>
  </sheetData>
  <mergeCells count="22">
    <mergeCell ref="A1:A1048576"/>
    <mergeCell ref="Q1:V1"/>
    <mergeCell ref="C18:C21"/>
    <mergeCell ref="C22:C25"/>
    <mergeCell ref="C26:C29"/>
    <mergeCell ref="C30:C33"/>
    <mergeCell ref="K1:L1"/>
    <mergeCell ref="E1:F1"/>
    <mergeCell ref="B1:C1"/>
    <mergeCell ref="F2:F5"/>
    <mergeCell ref="F6:F9"/>
    <mergeCell ref="F10:F13"/>
    <mergeCell ref="F14:F17"/>
    <mergeCell ref="C10:C13"/>
    <mergeCell ref="C6:C9"/>
    <mergeCell ref="C2:C5"/>
    <mergeCell ref="C14:C17"/>
    <mergeCell ref="X1:Z1"/>
    <mergeCell ref="X2:Z2"/>
    <mergeCell ref="H1:I1"/>
    <mergeCell ref="H2:I17"/>
    <mergeCell ref="N1:O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Rosinei Soares de Figueiredo</dc:creator>
  <cp:lastModifiedBy>Valdir de Souza Carvalho Neto</cp:lastModifiedBy>
  <dcterms:created xsi:type="dcterms:W3CDTF">2023-08-23T11:08:29Z</dcterms:created>
  <dcterms:modified xsi:type="dcterms:W3CDTF">2025-10-21T17:31:22Z</dcterms:modified>
</cp:coreProperties>
</file>