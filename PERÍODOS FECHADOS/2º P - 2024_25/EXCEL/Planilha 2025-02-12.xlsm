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45" windowWidth="27795" windowHeight="12600" activeTab="8"/>
  </bookViews>
  <sheets>
    <sheet name="BANCO" sheetId="1" r:id="rId1"/>
    <sheet name="Plan2" sheetId="2" r:id="rId2"/>
    <sheet name="Plan3" sheetId="3" r:id="rId3"/>
    <sheet name="Plan4" sheetId="4" r:id="rId4"/>
    <sheet name="Plan5" sheetId="5" r:id="rId5"/>
    <sheet name="Plan6" sheetId="6" r:id="rId6"/>
    <sheet name="Plan7" sheetId="7" r:id="rId7"/>
    <sheet name="Plan8" sheetId="8" r:id="rId8"/>
    <sheet name="Plan9" sheetId="9" r:id="rId9"/>
  </sheets>
  <calcPr calcId="144525"/>
  <pivotCaches>
    <pivotCache cacheId="3" r:id="rId10"/>
  </pivotCaches>
</workbook>
</file>

<file path=xl/calcChain.xml><?xml version="1.0" encoding="utf-8"?>
<calcChain xmlns="http://schemas.openxmlformats.org/spreadsheetml/2006/main">
  <c r="C4" i="8" l="1"/>
  <c r="C3" i="8"/>
  <c r="H5" i="6"/>
  <c r="G5" i="6"/>
  <c r="F5" i="6"/>
  <c r="E5" i="6"/>
  <c r="D5" i="6"/>
  <c r="C5" i="6"/>
  <c r="I4" i="5"/>
  <c r="I5" i="5"/>
  <c r="I6" i="5"/>
  <c r="H4" i="5"/>
  <c r="H5" i="5"/>
  <c r="H6" i="5"/>
  <c r="H3" i="5"/>
  <c r="I3" i="5" s="1"/>
  <c r="F4" i="5"/>
  <c r="F5" i="5"/>
  <c r="F6" i="5"/>
  <c r="F3" i="5"/>
  <c r="G3" i="5"/>
  <c r="G4" i="5"/>
  <c r="G5" i="5"/>
  <c r="G6" i="5"/>
  <c r="E4" i="5"/>
  <c r="E5" i="5"/>
  <c r="E6" i="5"/>
  <c r="E3" i="5"/>
  <c r="B9" i="5"/>
  <c r="B10" i="5"/>
  <c r="G12" i="4" l="1"/>
  <c r="G11" i="4"/>
  <c r="G10" i="4"/>
  <c r="G9" i="4"/>
  <c r="H7" i="3" l="1"/>
  <c r="F7" i="3"/>
  <c r="G7" i="3"/>
  <c r="D7" i="3"/>
  <c r="E9" i="2"/>
  <c r="E10" i="2"/>
  <c r="E11" i="2"/>
  <c r="E12" i="2"/>
  <c r="E8" i="2"/>
  <c r="D9" i="2"/>
  <c r="D10" i="2"/>
  <c r="D11" i="2"/>
  <c r="D12" i="2"/>
  <c r="D8" i="2"/>
  <c r="C8" i="2"/>
  <c r="C9" i="2"/>
  <c r="C10" i="2"/>
  <c r="C11" i="2"/>
  <c r="C12" i="2"/>
  <c r="D14" i="2"/>
  <c r="C14" i="2"/>
  <c r="C14" i="3" l="1"/>
  <c r="C15" i="3"/>
  <c r="C16" i="3"/>
  <c r="C17" i="3"/>
  <c r="C18" i="3"/>
</calcChain>
</file>

<file path=xl/sharedStrings.xml><?xml version="1.0" encoding="utf-8"?>
<sst xmlns="http://schemas.openxmlformats.org/spreadsheetml/2006/main" count="201" uniqueCount="32">
  <si>
    <t>Cód</t>
  </si>
  <si>
    <t>Produto</t>
  </si>
  <si>
    <t>Valor</t>
  </si>
  <si>
    <t>Qnt</t>
  </si>
  <si>
    <t>Bala</t>
  </si>
  <si>
    <t>Pipoca</t>
  </si>
  <si>
    <t>Doce</t>
  </si>
  <si>
    <t>Bombom</t>
  </si>
  <si>
    <t>Jujuba</t>
  </si>
  <si>
    <t>Total</t>
  </si>
  <si>
    <t>%</t>
  </si>
  <si>
    <t>Produto selecionado:</t>
  </si>
  <si>
    <t>x2</t>
  </si>
  <si>
    <t>/7</t>
  </si>
  <si>
    <t>+7</t>
  </si>
  <si>
    <t>-2</t>
  </si>
  <si>
    <t>Maria da Silva</t>
  </si>
  <si>
    <t>Pedro Oliveira</t>
  </si>
  <si>
    <t>Margarete Lima Silva</t>
  </si>
  <si>
    <t>Paulo Luiz Azevedo</t>
  </si>
  <si>
    <t>A32D15C</t>
  </si>
  <si>
    <t>Tipo</t>
  </si>
  <si>
    <t>Cor</t>
  </si>
  <si>
    <t>Tamanho</t>
  </si>
  <si>
    <t xml:space="preserve">Modelo </t>
  </si>
  <si>
    <t>Série</t>
  </si>
  <si>
    <t>Mês</t>
  </si>
  <si>
    <t>Rótulos de Linha</t>
  </si>
  <si>
    <t>Total Geral</t>
  </si>
  <si>
    <t>Soma de Valor</t>
  </si>
  <si>
    <t>Rótulos de Coluna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</si>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</sst>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43" fontId="0" fillId="0" borderId="0" xfId="1" applyFont="1"/>
    <xf numFmtId="0" fontId="0" fillId="0" borderId="0" xfId="0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0" applyNumberFormat="1"/>
    <xf numFmtId="164" fontId="0" fillId="0" borderId="0" xfId="1" applyNumberFormat="1" applyFont="1"/>
    <xf numFmtId="9" fontId="0" fillId="0" borderId="0" xfId="0" applyNumberFormat="1"/>
    <xf numFmtId="9" fontId="0" fillId="0" borderId="0" xfId="2" applyFont="1"/>
    <xf numFmtId="165" fontId="0" fillId="0" borderId="0" xfId="2" applyNumberFormat="1" applyFont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/>
  </cellXfs>
  <cellStyles count="3">
    <cellStyle name="Normal" xfId="0" builtinId="0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86113365739374E-2"/>
          <c:y val="4.3400235113084711E-2"/>
          <c:w val="0.92743055059537338"/>
          <c:h val="0.863599261073162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Plan3!$B$14</c:f>
              <c:strCache>
                <c:ptCount val="1"/>
                <c:pt idx="0">
                  <c:v>Bala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676800"/>
        <c:axId val="229027840"/>
      </c:barChart>
      <c:catAx>
        <c:axId val="173676800"/>
        <c:scaling>
          <c:orientation val="minMax"/>
        </c:scaling>
        <c:delete val="1"/>
        <c:axPos val="b"/>
        <c:majorTickMark val="out"/>
        <c:minorTickMark val="none"/>
        <c:tickLblPos val="nextTo"/>
        <c:crossAx val="229027840"/>
        <c:crosses val="autoZero"/>
        <c:auto val="1"/>
        <c:lblAlgn val="ctr"/>
        <c:lblOffset val="100"/>
        <c:noMultiLvlLbl val="0"/>
      </c:catAx>
      <c:valAx>
        <c:axId val="2290278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736768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Plan3!$B$15</c:f>
              <c:strCache>
                <c:ptCount val="1"/>
                <c:pt idx="0">
                  <c:v>Pipoca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039104"/>
        <c:axId val="229593856"/>
      </c:barChart>
      <c:catAx>
        <c:axId val="229039104"/>
        <c:scaling>
          <c:orientation val="minMax"/>
        </c:scaling>
        <c:delete val="1"/>
        <c:axPos val="b"/>
        <c:majorTickMark val="out"/>
        <c:minorTickMark val="none"/>
        <c:tickLblPos val="nextTo"/>
        <c:crossAx val="229593856"/>
        <c:crosses val="autoZero"/>
        <c:auto val="1"/>
        <c:lblAlgn val="ctr"/>
        <c:lblOffset val="100"/>
        <c:noMultiLvlLbl val="0"/>
      </c:catAx>
      <c:valAx>
        <c:axId val="2295938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903910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237541885877425E-2"/>
          <c:y val="6.501787177004989E-2"/>
          <c:w val="0.92752491622824518"/>
          <c:h val="0.869964256459900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Plan3!$B$16</c:f>
              <c:strCache>
                <c:ptCount val="1"/>
                <c:pt idx="0">
                  <c:v>Doce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601280"/>
        <c:axId val="229602816"/>
      </c:barChart>
      <c:catAx>
        <c:axId val="229601280"/>
        <c:scaling>
          <c:orientation val="minMax"/>
        </c:scaling>
        <c:delete val="1"/>
        <c:axPos val="b"/>
        <c:majorTickMark val="out"/>
        <c:minorTickMark val="none"/>
        <c:tickLblPos val="nextTo"/>
        <c:crossAx val="229602816"/>
        <c:crosses val="autoZero"/>
        <c:auto val="1"/>
        <c:lblAlgn val="ctr"/>
        <c:lblOffset val="100"/>
        <c:noMultiLvlLbl val="0"/>
      </c:catAx>
      <c:valAx>
        <c:axId val="2296028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960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179218521474644E-2"/>
          <c:y val="0.15372176119142839"/>
          <c:w val="0.92882078147852531"/>
          <c:h val="0.830906062689428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Plan3!$B$17</c:f>
              <c:strCache>
                <c:ptCount val="1"/>
                <c:pt idx="0">
                  <c:v>Bombom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630720"/>
        <c:axId val="229632256"/>
      </c:barChart>
      <c:catAx>
        <c:axId val="229630720"/>
        <c:scaling>
          <c:orientation val="minMax"/>
        </c:scaling>
        <c:delete val="1"/>
        <c:axPos val="b"/>
        <c:majorTickMark val="out"/>
        <c:minorTickMark val="none"/>
        <c:tickLblPos val="nextTo"/>
        <c:crossAx val="229632256"/>
        <c:crosses val="autoZero"/>
        <c:auto val="1"/>
        <c:lblAlgn val="ctr"/>
        <c:lblOffset val="100"/>
        <c:noMultiLvlLbl val="0"/>
      </c:catAx>
      <c:valAx>
        <c:axId val="2296322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96307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Plan3!$B$18</c:f>
              <c:strCache>
                <c:ptCount val="1"/>
                <c:pt idx="0">
                  <c:v>Jujuba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Plan3!$C$13</c:f>
              <c:strCache>
                <c:ptCount val="1"/>
                <c:pt idx="0">
                  <c:v>Qnt</c:v>
                </c:pt>
              </c:strCache>
            </c:strRef>
          </c:cat>
          <c:val>
            <c:numRef>
              <c:f>Plan3!$C$18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5"/>
        <c:axId val="229778944"/>
        <c:axId val="229780480"/>
      </c:barChart>
      <c:catAx>
        <c:axId val="229778944"/>
        <c:scaling>
          <c:orientation val="minMax"/>
        </c:scaling>
        <c:delete val="1"/>
        <c:axPos val="b"/>
        <c:majorTickMark val="out"/>
        <c:minorTickMark val="none"/>
        <c:tickLblPos val="nextTo"/>
        <c:crossAx val="229780480"/>
        <c:crosses val="autoZero"/>
        <c:auto val="1"/>
        <c:lblAlgn val="ctr"/>
        <c:lblOffset val="100"/>
        <c:noMultiLvlLbl val="0"/>
      </c:catAx>
      <c:valAx>
        <c:axId val="2297804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297789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Plan9!$A$4</c:f>
              <c:strCache>
                <c:ptCount val="1"/>
                <c:pt idx="0">
                  <c:v>Teste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cat>
            <c:strRef>
              <c:f>Plan9!$B$3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Plan9!$B$4</c:f>
              <c:numCache>
                <c:formatCode>General</c:formatCode>
                <c:ptCount val="1"/>
                <c:pt idx="0">
                  <c:v>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08640"/>
        <c:axId val="146799232"/>
      </c:barChart>
      <c:catAx>
        <c:axId val="42208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46799232"/>
        <c:crosses val="autoZero"/>
        <c:auto val="1"/>
        <c:lblAlgn val="ctr"/>
        <c:lblOffset val="100"/>
        <c:noMultiLvlLbl val="0"/>
      </c:catAx>
      <c:valAx>
        <c:axId val="146799232"/>
        <c:scaling>
          <c:orientation val="minMax"/>
          <c:max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2086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List" dx="16" fmlaLink="$A$2" fmlaRange="Plan2!$B$8:$B$12" noThreeD="1" val="0"/>
</file>

<file path=xl/ctrlProps/ctrlProp2.xml><?xml version="1.0" encoding="utf-8"?>
<formControlPr xmlns="http://schemas.microsoft.com/office/spreadsheetml/2009/9/main" objectType="Scroll" dx="16" fmlaLink="$D$9" max="1000" min="1" page="5" val="586"/>
</file>

<file path=xl/ctrlProps/ctrlProp3.xml><?xml version="1.0" encoding="utf-8"?>
<formControlPr xmlns="http://schemas.microsoft.com/office/spreadsheetml/2009/9/main" objectType="Scroll" dx="16" fmlaLink="$D$9" horiz="1" max="1000" min="1" page="5" val="586"/>
</file>

<file path=xl/ctrlProps/ctrlProp4.xml><?xml version="1.0" encoding="utf-8"?>
<formControlPr xmlns="http://schemas.microsoft.com/office/spreadsheetml/2009/9/main" objectType="Scroll" dx="16" fmlaLink="$B$4" inc="5" max="100" min="1" page="10" val="9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microsoft.com/office/2007/relationships/hdphoto" Target="../media/hdphoto1.wdp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9525</xdr:rowOff>
        </xdr:from>
        <xdr:to>
          <xdr:col>2</xdr:col>
          <xdr:colOff>28575</xdr:colOff>
          <xdr:row>8</xdr:row>
          <xdr:rowOff>104775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18</xdr:col>
      <xdr:colOff>0</xdr:colOff>
      <xdr:row>12</xdr:row>
      <xdr:rowOff>0</xdr:rowOff>
    </xdr:from>
    <xdr:to>
      <xdr:col>18</xdr:col>
      <xdr:colOff>304800</xdr:colOff>
      <xdr:row>13</xdr:row>
      <xdr:rowOff>114300</xdr:rowOff>
    </xdr:to>
    <xdr:sp macro="" textlink="">
      <xdr:nvSpPr>
        <xdr:cNvPr id="3078" name="AutoShape 6" descr="Bala De Goma Gomets Frutas Jujuba Tubo Dori32g C/ 30 Unid"/>
        <xdr:cNvSpPr>
          <a:spLocks noChangeAspect="1" noChangeArrowheads="1"/>
        </xdr:cNvSpPr>
      </xdr:nvSpPr>
      <xdr:spPr bwMode="auto">
        <a:xfrm>
          <a:off x="10487025" y="21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304800</xdr:colOff>
      <xdr:row>10</xdr:row>
      <xdr:rowOff>114300</xdr:rowOff>
    </xdr:to>
    <xdr:sp macro="" textlink="">
      <xdr:nvSpPr>
        <xdr:cNvPr id="3079" name="AutoShape 7" descr="Bala De Goma Gomets Frutas Jujuba Tubo Dori32g C/ 30 Unid"/>
        <xdr:cNvSpPr>
          <a:spLocks noChangeAspect="1" noChangeArrowheads="1"/>
        </xdr:cNvSpPr>
      </xdr:nvSpPr>
      <xdr:spPr bwMode="auto">
        <a:xfrm>
          <a:off x="11096625" y="154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210552</xdr:colOff>
      <xdr:row>3</xdr:row>
      <xdr:rowOff>10027</xdr:rowOff>
    </xdr:from>
    <xdr:to>
      <xdr:col>12</xdr:col>
      <xdr:colOff>391025</xdr:colOff>
      <xdr:row>8</xdr:row>
      <xdr:rowOff>165435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245645</xdr:colOff>
      <xdr:row>0</xdr:row>
      <xdr:rowOff>0</xdr:rowOff>
    </xdr:from>
    <xdr:to>
      <xdr:col>11</xdr:col>
      <xdr:colOff>305803</xdr:colOff>
      <xdr:row>11</xdr:row>
      <xdr:rowOff>103271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165435</xdr:colOff>
      <xdr:row>2</xdr:row>
      <xdr:rowOff>50131</xdr:rowOff>
    </xdr:from>
    <xdr:to>
      <xdr:col>12</xdr:col>
      <xdr:colOff>350921</xdr:colOff>
      <xdr:row>13</xdr:row>
      <xdr:rowOff>103271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541422</xdr:colOff>
      <xdr:row>3</xdr:row>
      <xdr:rowOff>135355</xdr:rowOff>
    </xdr:from>
    <xdr:to>
      <xdr:col>12</xdr:col>
      <xdr:colOff>110290</xdr:colOff>
      <xdr:row>11</xdr:row>
      <xdr:rowOff>53137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556462</xdr:colOff>
      <xdr:row>1</xdr:row>
      <xdr:rowOff>127333</xdr:rowOff>
    </xdr:from>
    <xdr:to>
      <xdr:col>11</xdr:col>
      <xdr:colOff>140370</xdr:colOff>
      <xdr:row>14</xdr:row>
      <xdr:rowOff>160418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8</xdr:row>
          <xdr:rowOff>0</xdr:rowOff>
        </xdr:from>
        <xdr:to>
          <xdr:col>4</xdr:col>
          <xdr:colOff>228600</xdr:colOff>
          <xdr:row>11</xdr:row>
          <xdr:rowOff>180975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47625</xdr:rowOff>
        </xdr:from>
        <xdr:to>
          <xdr:col>3</xdr:col>
          <xdr:colOff>1095375</xdr:colOff>
          <xdr:row>13</xdr:row>
          <xdr:rowOff>19050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19050</xdr:rowOff>
        </xdr:from>
        <xdr:to>
          <xdr:col>2</xdr:col>
          <xdr:colOff>228600</xdr:colOff>
          <xdr:row>3</xdr:row>
          <xdr:rowOff>180975</xdr:rowOff>
        </xdr:to>
        <xdr:sp macro="" textlink="">
          <xdr:nvSpPr>
            <xdr:cNvPr id="13314" name="Scroll Bar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4</xdr:col>
      <xdr:colOff>515216</xdr:colOff>
      <xdr:row>1</xdr:row>
      <xdr:rowOff>138546</xdr:rowOff>
    </xdr:from>
    <xdr:to>
      <xdr:col>6</xdr:col>
      <xdr:colOff>251114</xdr:colOff>
      <xdr:row>11</xdr:row>
      <xdr:rowOff>8660</xdr:rowOff>
    </xdr:to>
    <xdr:pic>
      <xdr:nvPicPr>
        <xdr:cNvPr id="5" name="Imagem 4" descr="Refrigerante Limão Sprite Lata 350Ml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23500" r="760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985" t="3479" r="24886" b="4058"/>
        <a:stretch/>
      </xdr:blipFill>
      <xdr:spPr bwMode="auto">
        <a:xfrm>
          <a:off x="2957080" y="329046"/>
          <a:ext cx="956829" cy="1775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25066</xdr:colOff>
      <xdr:row>1</xdr:row>
      <xdr:rowOff>7019</xdr:rowOff>
    </xdr:from>
    <xdr:to>
      <xdr:col>7</xdr:col>
      <xdr:colOff>491288</xdr:colOff>
      <xdr:row>12</xdr:row>
      <xdr:rowOff>121227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aldir de Souza Carvalho Neto" refreshedDate="45700.52107210648" createdVersion="4" refreshedVersion="4" minRefreshableVersion="3" recordCount="150">
  <cacheSource type="worksheet">
    <worksheetSource ref="A1:E151" sheet="BANCO"/>
  </cacheSource>
  <cacheFields count="5">
    <cacheField name="Cód" numFmtId="0">
      <sharedItems containsSemiMixedTypes="0" containsString="0" containsNumber="1" containsInteger="1" minValue="1" maxValue="150"/>
    </cacheField>
    <cacheField name="Produto" numFmtId="0">
      <sharedItems count="5">
        <s v="Bala"/>
        <s v="Pipoca"/>
        <s v="Doce"/>
        <s v="Bombom"/>
        <s v="Jujuba"/>
      </sharedItems>
    </cacheField>
    <cacheField name="Valor" numFmtId="43">
      <sharedItems containsSemiMixedTypes="0" containsString="0" containsNumber="1" containsInteger="1" minValue="18" maxValue="2580"/>
    </cacheField>
    <cacheField name="Qnt" numFmtId="0">
      <sharedItems containsSemiMixedTypes="0" containsString="0" containsNumber="1" containsInteger="1" minValue="2" maxValue="15"/>
    </cacheField>
    <cacheField name="Mês" numFmtId="0">
      <sharedItems containsSemiMixedTypes="0" containsString="0" containsNumber="1" containsInteger="1" minValue="1" maxValue="12" count="12">
        <n v="1"/>
        <n v="11"/>
        <n v="9"/>
        <n v="4"/>
        <n v="5"/>
        <n v="7"/>
        <n v="12"/>
        <n v="10"/>
        <n v="6"/>
        <n v="8"/>
        <n v="2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0">
  <r>
    <n v="1"/>
    <x v="0"/>
    <n v="2580"/>
    <n v="3"/>
    <x v="0"/>
  </r>
  <r>
    <n v="2"/>
    <x v="1"/>
    <n v="73"/>
    <n v="7"/>
    <x v="1"/>
  </r>
  <r>
    <n v="3"/>
    <x v="2"/>
    <n v="46"/>
    <n v="8"/>
    <x v="2"/>
  </r>
  <r>
    <n v="4"/>
    <x v="3"/>
    <n v="74"/>
    <n v="10"/>
    <x v="3"/>
  </r>
  <r>
    <n v="5"/>
    <x v="4"/>
    <n v="18"/>
    <n v="3"/>
    <x v="2"/>
  </r>
  <r>
    <n v="6"/>
    <x v="0"/>
    <n v="68"/>
    <n v="15"/>
    <x v="4"/>
  </r>
  <r>
    <n v="7"/>
    <x v="1"/>
    <n v="21"/>
    <n v="13"/>
    <x v="3"/>
  </r>
  <r>
    <n v="8"/>
    <x v="2"/>
    <n v="25"/>
    <n v="4"/>
    <x v="5"/>
  </r>
  <r>
    <n v="9"/>
    <x v="3"/>
    <n v="55"/>
    <n v="14"/>
    <x v="4"/>
  </r>
  <r>
    <n v="10"/>
    <x v="4"/>
    <n v="59"/>
    <n v="13"/>
    <x v="6"/>
  </r>
  <r>
    <n v="11"/>
    <x v="0"/>
    <n v="30"/>
    <n v="8"/>
    <x v="7"/>
  </r>
  <r>
    <n v="12"/>
    <x v="1"/>
    <n v="22"/>
    <n v="14"/>
    <x v="0"/>
  </r>
  <r>
    <n v="13"/>
    <x v="2"/>
    <n v="43"/>
    <n v="11"/>
    <x v="8"/>
  </r>
  <r>
    <n v="14"/>
    <x v="3"/>
    <n v="31"/>
    <n v="10"/>
    <x v="8"/>
  </r>
  <r>
    <n v="15"/>
    <x v="4"/>
    <n v="72"/>
    <n v="4"/>
    <x v="6"/>
  </r>
  <r>
    <n v="16"/>
    <x v="0"/>
    <n v="45"/>
    <n v="12"/>
    <x v="1"/>
  </r>
  <r>
    <n v="17"/>
    <x v="1"/>
    <n v="81"/>
    <n v="5"/>
    <x v="9"/>
  </r>
  <r>
    <n v="18"/>
    <x v="2"/>
    <n v="56"/>
    <n v="13"/>
    <x v="0"/>
  </r>
  <r>
    <n v="19"/>
    <x v="3"/>
    <n v="53"/>
    <n v="10"/>
    <x v="6"/>
  </r>
  <r>
    <n v="20"/>
    <x v="4"/>
    <n v="20"/>
    <n v="8"/>
    <x v="4"/>
  </r>
  <r>
    <n v="21"/>
    <x v="0"/>
    <n v="67"/>
    <n v="14"/>
    <x v="6"/>
  </r>
  <r>
    <n v="22"/>
    <x v="1"/>
    <n v="61"/>
    <n v="14"/>
    <x v="2"/>
  </r>
  <r>
    <n v="23"/>
    <x v="2"/>
    <n v="25"/>
    <n v="9"/>
    <x v="8"/>
  </r>
  <r>
    <n v="24"/>
    <x v="3"/>
    <n v="81"/>
    <n v="7"/>
    <x v="0"/>
  </r>
  <r>
    <n v="25"/>
    <x v="4"/>
    <n v="56"/>
    <n v="11"/>
    <x v="2"/>
  </r>
  <r>
    <n v="26"/>
    <x v="0"/>
    <n v="64"/>
    <n v="10"/>
    <x v="0"/>
  </r>
  <r>
    <n v="27"/>
    <x v="1"/>
    <n v="69"/>
    <n v="15"/>
    <x v="9"/>
  </r>
  <r>
    <n v="28"/>
    <x v="2"/>
    <n v="60"/>
    <n v="5"/>
    <x v="2"/>
  </r>
  <r>
    <n v="29"/>
    <x v="3"/>
    <n v="21"/>
    <n v="13"/>
    <x v="8"/>
  </r>
  <r>
    <n v="30"/>
    <x v="4"/>
    <n v="69"/>
    <n v="7"/>
    <x v="1"/>
  </r>
  <r>
    <n v="31"/>
    <x v="0"/>
    <n v="51"/>
    <n v="2"/>
    <x v="10"/>
  </r>
  <r>
    <n v="32"/>
    <x v="1"/>
    <n v="46"/>
    <n v="14"/>
    <x v="7"/>
  </r>
  <r>
    <n v="33"/>
    <x v="2"/>
    <n v="53"/>
    <n v="11"/>
    <x v="3"/>
  </r>
  <r>
    <n v="34"/>
    <x v="3"/>
    <n v="29"/>
    <n v="3"/>
    <x v="11"/>
  </r>
  <r>
    <n v="35"/>
    <x v="4"/>
    <n v="52"/>
    <n v="5"/>
    <x v="6"/>
  </r>
  <r>
    <n v="36"/>
    <x v="0"/>
    <n v="49"/>
    <n v="13"/>
    <x v="3"/>
  </r>
  <r>
    <n v="37"/>
    <x v="1"/>
    <n v="79"/>
    <n v="13"/>
    <x v="5"/>
  </r>
  <r>
    <n v="38"/>
    <x v="2"/>
    <n v="71"/>
    <n v="6"/>
    <x v="2"/>
  </r>
  <r>
    <n v="39"/>
    <x v="3"/>
    <n v="24"/>
    <n v="15"/>
    <x v="8"/>
  </r>
  <r>
    <n v="40"/>
    <x v="4"/>
    <n v="73"/>
    <n v="12"/>
    <x v="6"/>
  </r>
  <r>
    <n v="41"/>
    <x v="0"/>
    <n v="66"/>
    <n v="6"/>
    <x v="10"/>
  </r>
  <r>
    <n v="42"/>
    <x v="1"/>
    <n v="19"/>
    <n v="6"/>
    <x v="1"/>
  </r>
  <r>
    <n v="43"/>
    <x v="2"/>
    <n v="35"/>
    <n v="4"/>
    <x v="6"/>
  </r>
  <r>
    <n v="44"/>
    <x v="3"/>
    <n v="64"/>
    <n v="2"/>
    <x v="9"/>
  </r>
  <r>
    <n v="45"/>
    <x v="4"/>
    <n v="78"/>
    <n v="3"/>
    <x v="2"/>
  </r>
  <r>
    <n v="46"/>
    <x v="0"/>
    <n v="34"/>
    <n v="5"/>
    <x v="11"/>
  </r>
  <r>
    <n v="47"/>
    <x v="1"/>
    <n v="62"/>
    <n v="8"/>
    <x v="6"/>
  </r>
  <r>
    <n v="48"/>
    <x v="2"/>
    <n v="75"/>
    <n v="2"/>
    <x v="5"/>
  </r>
  <r>
    <n v="49"/>
    <x v="3"/>
    <n v="56"/>
    <n v="13"/>
    <x v="10"/>
  </r>
  <r>
    <n v="50"/>
    <x v="4"/>
    <n v="65"/>
    <n v="8"/>
    <x v="2"/>
  </r>
  <r>
    <n v="51"/>
    <x v="0"/>
    <n v="66"/>
    <n v="12"/>
    <x v="1"/>
  </r>
  <r>
    <n v="52"/>
    <x v="1"/>
    <n v="45"/>
    <n v="8"/>
    <x v="10"/>
  </r>
  <r>
    <n v="53"/>
    <x v="2"/>
    <n v="56"/>
    <n v="3"/>
    <x v="9"/>
  </r>
  <r>
    <n v="54"/>
    <x v="3"/>
    <n v="40"/>
    <n v="10"/>
    <x v="8"/>
  </r>
  <r>
    <n v="55"/>
    <x v="4"/>
    <n v="81"/>
    <n v="13"/>
    <x v="3"/>
  </r>
  <r>
    <n v="56"/>
    <x v="0"/>
    <n v="67"/>
    <n v="15"/>
    <x v="8"/>
  </r>
  <r>
    <n v="57"/>
    <x v="1"/>
    <n v="50"/>
    <n v="13"/>
    <x v="8"/>
  </r>
  <r>
    <n v="58"/>
    <x v="2"/>
    <n v="80"/>
    <n v="8"/>
    <x v="7"/>
  </r>
  <r>
    <n v="59"/>
    <x v="3"/>
    <n v="56"/>
    <n v="12"/>
    <x v="5"/>
  </r>
  <r>
    <n v="60"/>
    <x v="4"/>
    <n v="55"/>
    <n v="9"/>
    <x v="1"/>
  </r>
  <r>
    <n v="61"/>
    <x v="0"/>
    <n v="69"/>
    <n v="13"/>
    <x v="10"/>
  </r>
  <r>
    <n v="62"/>
    <x v="1"/>
    <n v="33"/>
    <n v="4"/>
    <x v="11"/>
  </r>
  <r>
    <n v="63"/>
    <x v="2"/>
    <n v="60"/>
    <n v="6"/>
    <x v="3"/>
  </r>
  <r>
    <n v="64"/>
    <x v="3"/>
    <n v="65"/>
    <n v="15"/>
    <x v="7"/>
  </r>
  <r>
    <n v="65"/>
    <x v="4"/>
    <n v="31"/>
    <n v="8"/>
    <x v="2"/>
  </r>
  <r>
    <n v="66"/>
    <x v="0"/>
    <n v="68"/>
    <n v="2"/>
    <x v="7"/>
  </r>
  <r>
    <n v="67"/>
    <x v="1"/>
    <n v="65"/>
    <n v="8"/>
    <x v="0"/>
  </r>
  <r>
    <n v="68"/>
    <x v="2"/>
    <n v="58"/>
    <n v="11"/>
    <x v="8"/>
  </r>
  <r>
    <n v="69"/>
    <x v="3"/>
    <n v="67"/>
    <n v="7"/>
    <x v="6"/>
  </r>
  <r>
    <n v="70"/>
    <x v="4"/>
    <n v="74"/>
    <n v="14"/>
    <x v="11"/>
  </r>
  <r>
    <n v="71"/>
    <x v="0"/>
    <n v="45"/>
    <n v="12"/>
    <x v="10"/>
  </r>
  <r>
    <n v="72"/>
    <x v="1"/>
    <n v="53"/>
    <n v="15"/>
    <x v="2"/>
  </r>
  <r>
    <n v="73"/>
    <x v="2"/>
    <n v="22"/>
    <n v="10"/>
    <x v="9"/>
  </r>
  <r>
    <n v="74"/>
    <x v="3"/>
    <n v="73"/>
    <n v="15"/>
    <x v="1"/>
  </r>
  <r>
    <n v="75"/>
    <x v="4"/>
    <n v="32"/>
    <n v="3"/>
    <x v="5"/>
  </r>
  <r>
    <n v="76"/>
    <x v="0"/>
    <n v="64"/>
    <n v="12"/>
    <x v="6"/>
  </r>
  <r>
    <n v="77"/>
    <x v="1"/>
    <n v="67"/>
    <n v="4"/>
    <x v="5"/>
  </r>
  <r>
    <n v="78"/>
    <x v="2"/>
    <n v="54"/>
    <n v="4"/>
    <x v="2"/>
  </r>
  <r>
    <n v="79"/>
    <x v="3"/>
    <n v="27"/>
    <n v="4"/>
    <x v="1"/>
  </r>
  <r>
    <n v="80"/>
    <x v="4"/>
    <n v="18"/>
    <n v="8"/>
    <x v="7"/>
  </r>
  <r>
    <n v="81"/>
    <x v="0"/>
    <n v="78"/>
    <n v="3"/>
    <x v="10"/>
  </r>
  <r>
    <n v="82"/>
    <x v="1"/>
    <n v="79"/>
    <n v="7"/>
    <x v="0"/>
  </r>
  <r>
    <n v="83"/>
    <x v="2"/>
    <n v="27"/>
    <n v="10"/>
    <x v="1"/>
  </r>
  <r>
    <n v="84"/>
    <x v="3"/>
    <n v="25"/>
    <n v="11"/>
    <x v="6"/>
  </r>
  <r>
    <n v="85"/>
    <x v="4"/>
    <n v="18"/>
    <n v="13"/>
    <x v="1"/>
  </r>
  <r>
    <n v="86"/>
    <x v="0"/>
    <n v="32"/>
    <n v="12"/>
    <x v="2"/>
  </r>
  <r>
    <n v="87"/>
    <x v="1"/>
    <n v="71"/>
    <n v="11"/>
    <x v="7"/>
  </r>
  <r>
    <n v="88"/>
    <x v="2"/>
    <n v="60"/>
    <n v="12"/>
    <x v="11"/>
  </r>
  <r>
    <n v="89"/>
    <x v="3"/>
    <n v="37"/>
    <n v="10"/>
    <x v="8"/>
  </r>
  <r>
    <n v="90"/>
    <x v="4"/>
    <n v="81"/>
    <n v="13"/>
    <x v="6"/>
  </r>
  <r>
    <n v="91"/>
    <x v="0"/>
    <n v="29"/>
    <n v="8"/>
    <x v="0"/>
  </r>
  <r>
    <n v="92"/>
    <x v="1"/>
    <n v="22"/>
    <n v="4"/>
    <x v="10"/>
  </r>
  <r>
    <n v="93"/>
    <x v="2"/>
    <n v="37"/>
    <n v="9"/>
    <x v="10"/>
  </r>
  <r>
    <n v="94"/>
    <x v="3"/>
    <n v="43"/>
    <n v="9"/>
    <x v="3"/>
  </r>
  <r>
    <n v="95"/>
    <x v="4"/>
    <n v="78"/>
    <n v="5"/>
    <x v="5"/>
  </r>
  <r>
    <n v="96"/>
    <x v="0"/>
    <n v="27"/>
    <n v="10"/>
    <x v="8"/>
  </r>
  <r>
    <n v="97"/>
    <x v="1"/>
    <n v="19"/>
    <n v="5"/>
    <x v="0"/>
  </r>
  <r>
    <n v="98"/>
    <x v="2"/>
    <n v="51"/>
    <n v="8"/>
    <x v="6"/>
  </r>
  <r>
    <n v="99"/>
    <x v="3"/>
    <n v="68"/>
    <n v="15"/>
    <x v="11"/>
  </r>
  <r>
    <n v="100"/>
    <x v="4"/>
    <n v="20"/>
    <n v="3"/>
    <x v="7"/>
  </r>
  <r>
    <n v="101"/>
    <x v="0"/>
    <n v="76"/>
    <n v="2"/>
    <x v="2"/>
  </r>
  <r>
    <n v="102"/>
    <x v="1"/>
    <n v="81"/>
    <n v="10"/>
    <x v="1"/>
  </r>
  <r>
    <n v="103"/>
    <x v="2"/>
    <n v="74"/>
    <n v="5"/>
    <x v="10"/>
  </r>
  <r>
    <n v="104"/>
    <x v="3"/>
    <n v="81"/>
    <n v="7"/>
    <x v="4"/>
  </r>
  <r>
    <n v="105"/>
    <x v="4"/>
    <n v="28"/>
    <n v="4"/>
    <x v="5"/>
  </r>
  <r>
    <n v="106"/>
    <x v="0"/>
    <n v="68"/>
    <n v="8"/>
    <x v="6"/>
  </r>
  <r>
    <n v="107"/>
    <x v="1"/>
    <n v="74"/>
    <n v="12"/>
    <x v="8"/>
  </r>
  <r>
    <n v="108"/>
    <x v="2"/>
    <n v="66"/>
    <n v="7"/>
    <x v="8"/>
  </r>
  <r>
    <n v="109"/>
    <x v="3"/>
    <n v="29"/>
    <n v="15"/>
    <x v="1"/>
  </r>
  <r>
    <n v="110"/>
    <x v="4"/>
    <n v="82"/>
    <n v="14"/>
    <x v="11"/>
  </r>
  <r>
    <n v="111"/>
    <x v="0"/>
    <n v="77"/>
    <n v="14"/>
    <x v="3"/>
  </r>
  <r>
    <n v="112"/>
    <x v="1"/>
    <n v="41"/>
    <n v="8"/>
    <x v="5"/>
  </r>
  <r>
    <n v="113"/>
    <x v="2"/>
    <n v="40"/>
    <n v="12"/>
    <x v="6"/>
  </r>
  <r>
    <n v="114"/>
    <x v="3"/>
    <n v="37"/>
    <n v="15"/>
    <x v="4"/>
  </r>
  <r>
    <n v="115"/>
    <x v="4"/>
    <n v="45"/>
    <n v="5"/>
    <x v="10"/>
  </r>
  <r>
    <n v="116"/>
    <x v="0"/>
    <n v="61"/>
    <n v="9"/>
    <x v="9"/>
  </r>
  <r>
    <n v="117"/>
    <x v="1"/>
    <n v="43"/>
    <n v="15"/>
    <x v="9"/>
  </r>
  <r>
    <n v="118"/>
    <x v="2"/>
    <n v="56"/>
    <n v="10"/>
    <x v="10"/>
  </r>
  <r>
    <n v="119"/>
    <x v="3"/>
    <n v="30"/>
    <n v="4"/>
    <x v="4"/>
  </r>
  <r>
    <n v="120"/>
    <x v="4"/>
    <n v="52"/>
    <n v="3"/>
    <x v="9"/>
  </r>
  <r>
    <n v="121"/>
    <x v="0"/>
    <n v="74"/>
    <n v="8"/>
    <x v="7"/>
  </r>
  <r>
    <n v="122"/>
    <x v="1"/>
    <n v="48"/>
    <n v="8"/>
    <x v="10"/>
  </r>
  <r>
    <n v="123"/>
    <x v="2"/>
    <n v="47"/>
    <n v="3"/>
    <x v="4"/>
  </r>
  <r>
    <n v="124"/>
    <x v="3"/>
    <n v="65"/>
    <n v="9"/>
    <x v="7"/>
  </r>
  <r>
    <n v="125"/>
    <x v="4"/>
    <n v="57"/>
    <n v="8"/>
    <x v="3"/>
  </r>
  <r>
    <n v="126"/>
    <x v="0"/>
    <n v="51"/>
    <n v="12"/>
    <x v="11"/>
  </r>
  <r>
    <n v="127"/>
    <x v="1"/>
    <n v="19"/>
    <n v="9"/>
    <x v="6"/>
  </r>
  <r>
    <n v="128"/>
    <x v="2"/>
    <n v="34"/>
    <n v="5"/>
    <x v="6"/>
  </r>
  <r>
    <n v="129"/>
    <x v="3"/>
    <n v="46"/>
    <n v="12"/>
    <x v="8"/>
  </r>
  <r>
    <n v="130"/>
    <x v="4"/>
    <n v="39"/>
    <n v="7"/>
    <x v="11"/>
  </r>
  <r>
    <n v="131"/>
    <x v="0"/>
    <n v="43"/>
    <n v="3"/>
    <x v="4"/>
  </r>
  <r>
    <n v="132"/>
    <x v="1"/>
    <n v="27"/>
    <n v="9"/>
    <x v="3"/>
  </r>
  <r>
    <n v="133"/>
    <x v="2"/>
    <n v="33"/>
    <n v="14"/>
    <x v="1"/>
  </r>
  <r>
    <n v="134"/>
    <x v="3"/>
    <n v="21"/>
    <n v="10"/>
    <x v="4"/>
  </r>
  <r>
    <n v="135"/>
    <x v="4"/>
    <n v="38"/>
    <n v="2"/>
    <x v="1"/>
  </r>
  <r>
    <n v="136"/>
    <x v="0"/>
    <n v="25"/>
    <n v="13"/>
    <x v="4"/>
  </r>
  <r>
    <n v="137"/>
    <x v="1"/>
    <n v="43"/>
    <n v="15"/>
    <x v="8"/>
  </r>
  <r>
    <n v="138"/>
    <x v="2"/>
    <n v="44"/>
    <n v="4"/>
    <x v="2"/>
  </r>
  <r>
    <n v="139"/>
    <x v="3"/>
    <n v="51"/>
    <n v="10"/>
    <x v="9"/>
  </r>
  <r>
    <n v="140"/>
    <x v="4"/>
    <n v="73"/>
    <n v="4"/>
    <x v="7"/>
  </r>
  <r>
    <n v="141"/>
    <x v="0"/>
    <n v="29"/>
    <n v="3"/>
    <x v="8"/>
  </r>
  <r>
    <n v="142"/>
    <x v="1"/>
    <n v="60"/>
    <n v="4"/>
    <x v="10"/>
  </r>
  <r>
    <n v="143"/>
    <x v="2"/>
    <n v="44"/>
    <n v="6"/>
    <x v="3"/>
  </r>
  <r>
    <n v="144"/>
    <x v="3"/>
    <n v="67"/>
    <n v="15"/>
    <x v="6"/>
  </r>
  <r>
    <n v="145"/>
    <x v="4"/>
    <n v="41"/>
    <n v="14"/>
    <x v="7"/>
  </r>
  <r>
    <n v="146"/>
    <x v="0"/>
    <n v="74"/>
    <n v="7"/>
    <x v="5"/>
  </r>
  <r>
    <n v="147"/>
    <x v="1"/>
    <n v="26"/>
    <n v="2"/>
    <x v="0"/>
  </r>
  <r>
    <n v="148"/>
    <x v="2"/>
    <n v="56"/>
    <n v="15"/>
    <x v="8"/>
  </r>
  <r>
    <n v="149"/>
    <x v="3"/>
    <n v="80"/>
    <n v="7"/>
    <x v="5"/>
  </r>
  <r>
    <n v="150"/>
    <x v="4"/>
    <n v="76"/>
    <n v="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3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G17" firstHeaderRow="1" firstDataRow="2" firstDataCol="1"/>
  <pivotFields count="5">
    <pivotField showAll="0"/>
    <pivotField axis="axisCol" showAll="0">
      <items count="6">
        <item x="0"/>
        <item x="3"/>
        <item x="2"/>
        <item x="4"/>
        <item x="1"/>
        <item t="default"/>
      </items>
    </pivotField>
    <pivotField dataField="1" numFmtId="43" showAll="0"/>
    <pivotField showAll="0"/>
    <pivotField axis="axisRow" showAll="0">
      <items count="13">
        <item x="0"/>
        <item x="10"/>
        <item x="11"/>
        <item x="3"/>
        <item x="4"/>
        <item x="8"/>
        <item x="5"/>
        <item x="9"/>
        <item x="2"/>
        <item x="7"/>
        <item x="1"/>
        <item x="6"/>
        <item t="default"/>
      </items>
    </pivotField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Valor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1"/>
  <sheetViews>
    <sheetView zoomScale="175" zoomScaleNormal="175" workbookViewId="0">
      <selection activeCell="A4" sqref="A4"/>
    </sheetView>
  </sheetViews>
  <sheetFormatPr defaultRowHeight="15" x14ac:dyDescent="0.25"/>
  <cols>
    <col min="1" max="1" width="9.140625" style="2"/>
    <col min="2" max="2" width="14.5703125" style="2" customWidth="1"/>
    <col min="3" max="3" width="11.5703125" style="2" customWidth="1"/>
    <col min="4" max="4" width="11.28515625" style="2" customWidth="1"/>
    <col min="5" max="16384" width="9.140625" style="2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26</v>
      </c>
    </row>
    <row r="2" spans="1:5" x14ac:dyDescent="0.25">
      <c r="A2" s="2">
        <v>1</v>
      </c>
      <c r="B2" s="2" t="s">
        <v>4</v>
      </c>
      <c r="C2" s="3">
        <v>2580</v>
      </c>
      <c r="D2" s="2">
        <v>3</v>
      </c>
      <c r="E2" s="2">
        <v>1</v>
      </c>
    </row>
    <row r="3" spans="1:5" x14ac:dyDescent="0.25">
      <c r="A3" s="2">
        <v>2</v>
      </c>
      <c r="B3" s="2" t="s">
        <v>5</v>
      </c>
      <c r="C3" s="3">
        <v>73</v>
      </c>
      <c r="D3" s="2">
        <v>7</v>
      </c>
      <c r="E3" s="9">
        <v>11</v>
      </c>
    </row>
    <row r="4" spans="1:5" x14ac:dyDescent="0.25">
      <c r="A4" s="2">
        <v>3</v>
      </c>
      <c r="B4" s="2" t="s">
        <v>6</v>
      </c>
      <c r="C4" s="3">
        <v>46</v>
      </c>
      <c r="D4" s="2">
        <v>8</v>
      </c>
      <c r="E4" s="9">
        <v>9</v>
      </c>
    </row>
    <row r="5" spans="1:5" x14ac:dyDescent="0.25">
      <c r="A5" s="2">
        <v>4</v>
      </c>
      <c r="B5" s="2" t="s">
        <v>7</v>
      </c>
      <c r="C5" s="3">
        <v>74</v>
      </c>
      <c r="D5" s="2">
        <v>10</v>
      </c>
      <c r="E5" s="9">
        <v>4</v>
      </c>
    </row>
    <row r="6" spans="1:5" x14ac:dyDescent="0.25">
      <c r="A6" s="2">
        <v>5</v>
      </c>
      <c r="B6" s="2" t="s">
        <v>8</v>
      </c>
      <c r="C6" s="3">
        <v>18</v>
      </c>
      <c r="D6" s="2">
        <v>3</v>
      </c>
      <c r="E6" s="9">
        <v>9</v>
      </c>
    </row>
    <row r="7" spans="1:5" x14ac:dyDescent="0.25">
      <c r="A7" s="2">
        <v>6</v>
      </c>
      <c r="B7" s="2" t="s">
        <v>4</v>
      </c>
      <c r="C7" s="3">
        <v>68</v>
      </c>
      <c r="D7" s="2">
        <v>15</v>
      </c>
      <c r="E7" s="9">
        <v>5</v>
      </c>
    </row>
    <row r="8" spans="1:5" x14ac:dyDescent="0.25">
      <c r="A8" s="2">
        <v>7</v>
      </c>
      <c r="B8" s="2" t="s">
        <v>5</v>
      </c>
      <c r="C8" s="3">
        <v>21</v>
      </c>
      <c r="D8" s="2">
        <v>13</v>
      </c>
      <c r="E8" s="9">
        <v>4</v>
      </c>
    </row>
    <row r="9" spans="1:5" x14ac:dyDescent="0.25">
      <c r="A9" s="2">
        <v>8</v>
      </c>
      <c r="B9" s="2" t="s">
        <v>6</v>
      </c>
      <c r="C9" s="3">
        <v>25</v>
      </c>
      <c r="D9" s="2">
        <v>4</v>
      </c>
      <c r="E9" s="9">
        <v>7</v>
      </c>
    </row>
    <row r="10" spans="1:5" x14ac:dyDescent="0.25">
      <c r="A10" s="2">
        <v>9</v>
      </c>
      <c r="B10" s="2" t="s">
        <v>7</v>
      </c>
      <c r="C10" s="3">
        <v>55</v>
      </c>
      <c r="D10" s="2">
        <v>14</v>
      </c>
      <c r="E10" s="9">
        <v>5</v>
      </c>
    </row>
    <row r="11" spans="1:5" x14ac:dyDescent="0.25">
      <c r="A11" s="2">
        <v>10</v>
      </c>
      <c r="B11" s="2" t="s">
        <v>8</v>
      </c>
      <c r="C11" s="3">
        <v>59</v>
      </c>
      <c r="D11" s="2">
        <v>13</v>
      </c>
      <c r="E11" s="9">
        <v>12</v>
      </c>
    </row>
    <row r="12" spans="1:5" x14ac:dyDescent="0.25">
      <c r="A12" s="2">
        <v>11</v>
      </c>
      <c r="B12" s="2" t="s">
        <v>4</v>
      </c>
      <c r="C12" s="3">
        <v>30</v>
      </c>
      <c r="D12" s="2">
        <v>8</v>
      </c>
      <c r="E12" s="9">
        <v>10</v>
      </c>
    </row>
    <row r="13" spans="1:5" x14ac:dyDescent="0.25">
      <c r="A13" s="2">
        <v>12</v>
      </c>
      <c r="B13" s="2" t="s">
        <v>5</v>
      </c>
      <c r="C13" s="3">
        <v>22</v>
      </c>
      <c r="D13" s="2">
        <v>14</v>
      </c>
      <c r="E13" s="9">
        <v>1</v>
      </c>
    </row>
    <row r="14" spans="1:5" x14ac:dyDescent="0.25">
      <c r="A14" s="2">
        <v>13</v>
      </c>
      <c r="B14" s="2" t="s">
        <v>6</v>
      </c>
      <c r="C14" s="3">
        <v>43</v>
      </c>
      <c r="D14" s="2">
        <v>11</v>
      </c>
      <c r="E14" s="9">
        <v>6</v>
      </c>
    </row>
    <row r="15" spans="1:5" x14ac:dyDescent="0.25">
      <c r="A15" s="2">
        <v>14</v>
      </c>
      <c r="B15" s="2" t="s">
        <v>7</v>
      </c>
      <c r="C15" s="3">
        <v>31</v>
      </c>
      <c r="D15" s="2">
        <v>10</v>
      </c>
      <c r="E15" s="9">
        <v>6</v>
      </c>
    </row>
    <row r="16" spans="1:5" x14ac:dyDescent="0.25">
      <c r="A16" s="2">
        <v>15</v>
      </c>
      <c r="B16" s="2" t="s">
        <v>8</v>
      </c>
      <c r="C16" s="3">
        <v>72</v>
      </c>
      <c r="D16" s="2">
        <v>4</v>
      </c>
      <c r="E16" s="9">
        <v>12</v>
      </c>
    </row>
    <row r="17" spans="1:5" x14ac:dyDescent="0.25">
      <c r="A17" s="2">
        <v>16</v>
      </c>
      <c r="B17" s="2" t="s">
        <v>4</v>
      </c>
      <c r="C17" s="3">
        <v>45</v>
      </c>
      <c r="D17" s="2">
        <v>12</v>
      </c>
      <c r="E17" s="9">
        <v>11</v>
      </c>
    </row>
    <row r="18" spans="1:5" x14ac:dyDescent="0.25">
      <c r="A18" s="2">
        <v>17</v>
      </c>
      <c r="B18" s="2" t="s">
        <v>5</v>
      </c>
      <c r="C18" s="3">
        <v>81</v>
      </c>
      <c r="D18" s="2">
        <v>5</v>
      </c>
      <c r="E18" s="9">
        <v>8</v>
      </c>
    </row>
    <row r="19" spans="1:5" x14ac:dyDescent="0.25">
      <c r="A19" s="2">
        <v>18</v>
      </c>
      <c r="B19" s="2" t="s">
        <v>6</v>
      </c>
      <c r="C19" s="3">
        <v>56</v>
      </c>
      <c r="D19" s="2">
        <v>13</v>
      </c>
      <c r="E19" s="9">
        <v>1</v>
      </c>
    </row>
    <row r="20" spans="1:5" x14ac:dyDescent="0.25">
      <c r="A20" s="2">
        <v>19</v>
      </c>
      <c r="B20" s="2" t="s">
        <v>7</v>
      </c>
      <c r="C20" s="3">
        <v>53</v>
      </c>
      <c r="D20" s="2">
        <v>10</v>
      </c>
      <c r="E20" s="9">
        <v>12</v>
      </c>
    </row>
    <row r="21" spans="1:5" x14ac:dyDescent="0.25">
      <c r="A21" s="2">
        <v>20</v>
      </c>
      <c r="B21" s="2" t="s">
        <v>8</v>
      </c>
      <c r="C21" s="3">
        <v>20</v>
      </c>
      <c r="D21" s="2">
        <v>8</v>
      </c>
      <c r="E21" s="9">
        <v>5</v>
      </c>
    </row>
    <row r="22" spans="1:5" x14ac:dyDescent="0.25">
      <c r="A22" s="2">
        <v>21</v>
      </c>
      <c r="B22" s="2" t="s">
        <v>4</v>
      </c>
      <c r="C22" s="3">
        <v>67</v>
      </c>
      <c r="D22" s="2">
        <v>14</v>
      </c>
      <c r="E22" s="9">
        <v>12</v>
      </c>
    </row>
    <row r="23" spans="1:5" x14ac:dyDescent="0.25">
      <c r="A23" s="2">
        <v>22</v>
      </c>
      <c r="B23" s="2" t="s">
        <v>5</v>
      </c>
      <c r="C23" s="3">
        <v>61</v>
      </c>
      <c r="D23" s="2">
        <v>14</v>
      </c>
      <c r="E23" s="9">
        <v>9</v>
      </c>
    </row>
    <row r="24" spans="1:5" x14ac:dyDescent="0.25">
      <c r="A24" s="2">
        <v>23</v>
      </c>
      <c r="B24" s="2" t="s">
        <v>6</v>
      </c>
      <c r="C24" s="3">
        <v>25</v>
      </c>
      <c r="D24" s="2">
        <v>9</v>
      </c>
      <c r="E24" s="9">
        <v>6</v>
      </c>
    </row>
    <row r="25" spans="1:5" x14ac:dyDescent="0.25">
      <c r="A25" s="2">
        <v>24</v>
      </c>
      <c r="B25" s="2" t="s">
        <v>7</v>
      </c>
      <c r="C25" s="3">
        <v>81</v>
      </c>
      <c r="D25" s="2">
        <v>7</v>
      </c>
      <c r="E25" s="9">
        <v>1</v>
      </c>
    </row>
    <row r="26" spans="1:5" x14ac:dyDescent="0.25">
      <c r="A26" s="2">
        <v>25</v>
      </c>
      <c r="B26" s="2" t="s">
        <v>8</v>
      </c>
      <c r="C26" s="3">
        <v>56</v>
      </c>
      <c r="D26" s="2">
        <v>11</v>
      </c>
      <c r="E26" s="9">
        <v>9</v>
      </c>
    </row>
    <row r="27" spans="1:5" x14ac:dyDescent="0.25">
      <c r="A27" s="2">
        <v>26</v>
      </c>
      <c r="B27" s="2" t="s">
        <v>4</v>
      </c>
      <c r="C27" s="3">
        <v>64</v>
      </c>
      <c r="D27" s="2">
        <v>10</v>
      </c>
      <c r="E27" s="9">
        <v>1</v>
      </c>
    </row>
    <row r="28" spans="1:5" x14ac:dyDescent="0.25">
      <c r="A28" s="2">
        <v>27</v>
      </c>
      <c r="B28" s="2" t="s">
        <v>5</v>
      </c>
      <c r="C28" s="3">
        <v>69</v>
      </c>
      <c r="D28" s="2">
        <v>15</v>
      </c>
      <c r="E28" s="9">
        <v>8</v>
      </c>
    </row>
    <row r="29" spans="1:5" x14ac:dyDescent="0.25">
      <c r="A29" s="2">
        <v>28</v>
      </c>
      <c r="B29" s="2" t="s">
        <v>6</v>
      </c>
      <c r="C29" s="3">
        <v>60</v>
      </c>
      <c r="D29" s="2">
        <v>5</v>
      </c>
      <c r="E29" s="9">
        <v>9</v>
      </c>
    </row>
    <row r="30" spans="1:5" x14ac:dyDescent="0.25">
      <c r="A30" s="2">
        <v>29</v>
      </c>
      <c r="B30" s="2" t="s">
        <v>7</v>
      </c>
      <c r="C30" s="3">
        <v>21</v>
      </c>
      <c r="D30" s="2">
        <v>13</v>
      </c>
      <c r="E30" s="9">
        <v>6</v>
      </c>
    </row>
    <row r="31" spans="1:5" x14ac:dyDescent="0.25">
      <c r="A31" s="2">
        <v>30</v>
      </c>
      <c r="B31" s="2" t="s">
        <v>8</v>
      </c>
      <c r="C31" s="3">
        <v>69</v>
      </c>
      <c r="D31" s="2">
        <v>7</v>
      </c>
      <c r="E31" s="9">
        <v>11</v>
      </c>
    </row>
    <row r="32" spans="1:5" x14ac:dyDescent="0.25">
      <c r="A32" s="2">
        <v>31</v>
      </c>
      <c r="B32" s="2" t="s">
        <v>4</v>
      </c>
      <c r="C32" s="3">
        <v>51</v>
      </c>
      <c r="D32" s="2">
        <v>2</v>
      </c>
      <c r="E32" s="9">
        <v>2</v>
      </c>
    </row>
    <row r="33" spans="1:5" x14ac:dyDescent="0.25">
      <c r="A33" s="2">
        <v>32</v>
      </c>
      <c r="B33" s="2" t="s">
        <v>5</v>
      </c>
      <c r="C33" s="3">
        <v>46</v>
      </c>
      <c r="D33" s="2">
        <v>14</v>
      </c>
      <c r="E33" s="9">
        <v>10</v>
      </c>
    </row>
    <row r="34" spans="1:5" x14ac:dyDescent="0.25">
      <c r="A34" s="2">
        <v>33</v>
      </c>
      <c r="B34" s="2" t="s">
        <v>6</v>
      </c>
      <c r="C34" s="3">
        <v>53</v>
      </c>
      <c r="D34" s="2">
        <v>11</v>
      </c>
      <c r="E34" s="9">
        <v>4</v>
      </c>
    </row>
    <row r="35" spans="1:5" x14ac:dyDescent="0.25">
      <c r="A35" s="2">
        <v>34</v>
      </c>
      <c r="B35" s="2" t="s">
        <v>7</v>
      </c>
      <c r="C35" s="3">
        <v>29</v>
      </c>
      <c r="D35" s="2">
        <v>3</v>
      </c>
      <c r="E35" s="9">
        <v>3</v>
      </c>
    </row>
    <row r="36" spans="1:5" x14ac:dyDescent="0.25">
      <c r="A36" s="2">
        <v>35</v>
      </c>
      <c r="B36" s="2" t="s">
        <v>8</v>
      </c>
      <c r="C36" s="3">
        <v>52</v>
      </c>
      <c r="D36" s="2">
        <v>5</v>
      </c>
      <c r="E36" s="9">
        <v>12</v>
      </c>
    </row>
    <row r="37" spans="1:5" x14ac:dyDescent="0.25">
      <c r="A37" s="2">
        <v>36</v>
      </c>
      <c r="B37" s="2" t="s">
        <v>4</v>
      </c>
      <c r="C37" s="3">
        <v>49</v>
      </c>
      <c r="D37" s="2">
        <v>13</v>
      </c>
      <c r="E37" s="9">
        <v>4</v>
      </c>
    </row>
    <row r="38" spans="1:5" x14ac:dyDescent="0.25">
      <c r="A38" s="2">
        <v>37</v>
      </c>
      <c r="B38" s="2" t="s">
        <v>5</v>
      </c>
      <c r="C38" s="3">
        <v>79</v>
      </c>
      <c r="D38" s="2">
        <v>13</v>
      </c>
      <c r="E38" s="9">
        <v>7</v>
      </c>
    </row>
    <row r="39" spans="1:5" x14ac:dyDescent="0.25">
      <c r="A39" s="2">
        <v>38</v>
      </c>
      <c r="B39" s="2" t="s">
        <v>6</v>
      </c>
      <c r="C39" s="3">
        <v>71</v>
      </c>
      <c r="D39" s="2">
        <v>6</v>
      </c>
      <c r="E39" s="9">
        <v>9</v>
      </c>
    </row>
    <row r="40" spans="1:5" x14ac:dyDescent="0.25">
      <c r="A40" s="2">
        <v>39</v>
      </c>
      <c r="B40" s="2" t="s">
        <v>7</v>
      </c>
      <c r="C40" s="3">
        <v>24</v>
      </c>
      <c r="D40" s="2">
        <v>15</v>
      </c>
      <c r="E40" s="9">
        <v>6</v>
      </c>
    </row>
    <row r="41" spans="1:5" x14ac:dyDescent="0.25">
      <c r="A41" s="2">
        <v>40</v>
      </c>
      <c r="B41" s="2" t="s">
        <v>8</v>
      </c>
      <c r="C41" s="3">
        <v>73</v>
      </c>
      <c r="D41" s="2">
        <v>12</v>
      </c>
      <c r="E41" s="9">
        <v>12</v>
      </c>
    </row>
    <row r="42" spans="1:5" x14ac:dyDescent="0.25">
      <c r="A42" s="2">
        <v>41</v>
      </c>
      <c r="B42" s="2" t="s">
        <v>4</v>
      </c>
      <c r="C42" s="3">
        <v>66</v>
      </c>
      <c r="D42" s="2">
        <v>6</v>
      </c>
      <c r="E42" s="9">
        <v>2</v>
      </c>
    </row>
    <row r="43" spans="1:5" x14ac:dyDescent="0.25">
      <c r="A43" s="2">
        <v>42</v>
      </c>
      <c r="B43" s="2" t="s">
        <v>5</v>
      </c>
      <c r="C43" s="3">
        <v>19</v>
      </c>
      <c r="D43" s="2">
        <v>6</v>
      </c>
      <c r="E43" s="9">
        <v>11</v>
      </c>
    </row>
    <row r="44" spans="1:5" x14ac:dyDescent="0.25">
      <c r="A44" s="2">
        <v>43</v>
      </c>
      <c r="B44" s="2" t="s">
        <v>6</v>
      </c>
      <c r="C44" s="3">
        <v>35</v>
      </c>
      <c r="D44" s="2">
        <v>4</v>
      </c>
      <c r="E44" s="9">
        <v>12</v>
      </c>
    </row>
    <row r="45" spans="1:5" x14ac:dyDescent="0.25">
      <c r="A45" s="2">
        <v>44</v>
      </c>
      <c r="B45" s="2" t="s">
        <v>7</v>
      </c>
      <c r="C45" s="3">
        <v>64</v>
      </c>
      <c r="D45" s="2">
        <v>2</v>
      </c>
      <c r="E45" s="9">
        <v>8</v>
      </c>
    </row>
    <row r="46" spans="1:5" x14ac:dyDescent="0.25">
      <c r="A46" s="2">
        <v>45</v>
      </c>
      <c r="B46" s="2" t="s">
        <v>8</v>
      </c>
      <c r="C46" s="3">
        <v>78</v>
      </c>
      <c r="D46" s="2">
        <v>3</v>
      </c>
      <c r="E46" s="9">
        <v>9</v>
      </c>
    </row>
    <row r="47" spans="1:5" x14ac:dyDescent="0.25">
      <c r="A47" s="2">
        <v>46</v>
      </c>
      <c r="B47" s="2" t="s">
        <v>4</v>
      </c>
      <c r="C47" s="3">
        <v>34</v>
      </c>
      <c r="D47" s="2">
        <v>5</v>
      </c>
      <c r="E47" s="9">
        <v>3</v>
      </c>
    </row>
    <row r="48" spans="1:5" x14ac:dyDescent="0.25">
      <c r="A48" s="2">
        <v>47</v>
      </c>
      <c r="B48" s="2" t="s">
        <v>5</v>
      </c>
      <c r="C48" s="3">
        <v>62</v>
      </c>
      <c r="D48" s="2">
        <v>8</v>
      </c>
      <c r="E48" s="9">
        <v>12</v>
      </c>
    </row>
    <row r="49" spans="1:5" x14ac:dyDescent="0.25">
      <c r="A49" s="2">
        <v>48</v>
      </c>
      <c r="B49" s="2" t="s">
        <v>6</v>
      </c>
      <c r="C49" s="3">
        <v>75</v>
      </c>
      <c r="D49" s="2">
        <v>2</v>
      </c>
      <c r="E49" s="9">
        <v>7</v>
      </c>
    </row>
    <row r="50" spans="1:5" x14ac:dyDescent="0.25">
      <c r="A50" s="2">
        <v>49</v>
      </c>
      <c r="B50" s="2" t="s">
        <v>7</v>
      </c>
      <c r="C50" s="3">
        <v>56</v>
      </c>
      <c r="D50" s="2">
        <v>13</v>
      </c>
      <c r="E50" s="9">
        <v>2</v>
      </c>
    </row>
    <row r="51" spans="1:5" x14ac:dyDescent="0.25">
      <c r="A51" s="2">
        <v>50</v>
      </c>
      <c r="B51" s="2" t="s">
        <v>8</v>
      </c>
      <c r="C51" s="3">
        <v>65</v>
      </c>
      <c r="D51" s="2">
        <v>8</v>
      </c>
      <c r="E51" s="9">
        <v>9</v>
      </c>
    </row>
    <row r="52" spans="1:5" x14ac:dyDescent="0.25">
      <c r="A52" s="2">
        <v>51</v>
      </c>
      <c r="B52" s="2" t="s">
        <v>4</v>
      </c>
      <c r="C52" s="3">
        <v>66</v>
      </c>
      <c r="D52" s="2">
        <v>12</v>
      </c>
      <c r="E52" s="9">
        <v>11</v>
      </c>
    </row>
    <row r="53" spans="1:5" x14ac:dyDescent="0.25">
      <c r="A53" s="2">
        <v>52</v>
      </c>
      <c r="B53" s="2" t="s">
        <v>5</v>
      </c>
      <c r="C53" s="3">
        <v>45</v>
      </c>
      <c r="D53" s="2">
        <v>8</v>
      </c>
      <c r="E53" s="9">
        <v>2</v>
      </c>
    </row>
    <row r="54" spans="1:5" x14ac:dyDescent="0.25">
      <c r="A54" s="2">
        <v>53</v>
      </c>
      <c r="B54" s="2" t="s">
        <v>6</v>
      </c>
      <c r="C54" s="3">
        <v>56</v>
      </c>
      <c r="D54" s="2">
        <v>3</v>
      </c>
      <c r="E54" s="9">
        <v>8</v>
      </c>
    </row>
    <row r="55" spans="1:5" x14ac:dyDescent="0.25">
      <c r="A55" s="2">
        <v>54</v>
      </c>
      <c r="B55" s="2" t="s">
        <v>7</v>
      </c>
      <c r="C55" s="3">
        <v>40</v>
      </c>
      <c r="D55" s="2">
        <v>10</v>
      </c>
      <c r="E55" s="9">
        <v>6</v>
      </c>
    </row>
    <row r="56" spans="1:5" x14ac:dyDescent="0.25">
      <c r="A56" s="2">
        <v>55</v>
      </c>
      <c r="B56" s="2" t="s">
        <v>8</v>
      </c>
      <c r="C56" s="3">
        <v>81</v>
      </c>
      <c r="D56" s="2">
        <v>13</v>
      </c>
      <c r="E56" s="9">
        <v>4</v>
      </c>
    </row>
    <row r="57" spans="1:5" x14ac:dyDescent="0.25">
      <c r="A57" s="2">
        <v>56</v>
      </c>
      <c r="B57" s="2" t="s">
        <v>4</v>
      </c>
      <c r="C57" s="3">
        <v>67</v>
      </c>
      <c r="D57" s="2">
        <v>15</v>
      </c>
      <c r="E57" s="9">
        <v>6</v>
      </c>
    </row>
    <row r="58" spans="1:5" x14ac:dyDescent="0.25">
      <c r="A58" s="2">
        <v>57</v>
      </c>
      <c r="B58" s="2" t="s">
        <v>5</v>
      </c>
      <c r="C58" s="3">
        <v>50</v>
      </c>
      <c r="D58" s="2">
        <v>13</v>
      </c>
      <c r="E58" s="9">
        <v>6</v>
      </c>
    </row>
    <row r="59" spans="1:5" x14ac:dyDescent="0.25">
      <c r="A59" s="2">
        <v>58</v>
      </c>
      <c r="B59" s="2" t="s">
        <v>6</v>
      </c>
      <c r="C59" s="3">
        <v>80</v>
      </c>
      <c r="D59" s="2">
        <v>8</v>
      </c>
      <c r="E59" s="9">
        <v>10</v>
      </c>
    </row>
    <row r="60" spans="1:5" x14ac:dyDescent="0.25">
      <c r="A60" s="2">
        <v>59</v>
      </c>
      <c r="B60" s="2" t="s">
        <v>7</v>
      </c>
      <c r="C60" s="3">
        <v>56</v>
      </c>
      <c r="D60" s="2">
        <v>12</v>
      </c>
      <c r="E60" s="9">
        <v>7</v>
      </c>
    </row>
    <row r="61" spans="1:5" x14ac:dyDescent="0.25">
      <c r="A61" s="2">
        <v>60</v>
      </c>
      <c r="B61" s="2" t="s">
        <v>8</v>
      </c>
      <c r="C61" s="3">
        <v>55</v>
      </c>
      <c r="D61" s="2">
        <v>9</v>
      </c>
      <c r="E61" s="9">
        <v>11</v>
      </c>
    </row>
    <row r="62" spans="1:5" x14ac:dyDescent="0.25">
      <c r="A62" s="2">
        <v>61</v>
      </c>
      <c r="B62" s="2" t="s">
        <v>4</v>
      </c>
      <c r="C62" s="3">
        <v>69</v>
      </c>
      <c r="D62" s="2">
        <v>13</v>
      </c>
      <c r="E62" s="9">
        <v>2</v>
      </c>
    </row>
    <row r="63" spans="1:5" x14ac:dyDescent="0.25">
      <c r="A63" s="2">
        <v>62</v>
      </c>
      <c r="B63" s="2" t="s">
        <v>5</v>
      </c>
      <c r="C63" s="3">
        <v>33</v>
      </c>
      <c r="D63" s="2">
        <v>4</v>
      </c>
      <c r="E63" s="9">
        <v>3</v>
      </c>
    </row>
    <row r="64" spans="1:5" x14ac:dyDescent="0.25">
      <c r="A64" s="2">
        <v>63</v>
      </c>
      <c r="B64" s="2" t="s">
        <v>6</v>
      </c>
      <c r="C64" s="3">
        <v>60</v>
      </c>
      <c r="D64" s="2">
        <v>6</v>
      </c>
      <c r="E64" s="9">
        <v>4</v>
      </c>
    </row>
    <row r="65" spans="1:5" x14ac:dyDescent="0.25">
      <c r="A65" s="2">
        <v>64</v>
      </c>
      <c r="B65" s="2" t="s">
        <v>7</v>
      </c>
      <c r="C65" s="3">
        <v>65</v>
      </c>
      <c r="D65" s="2">
        <v>15</v>
      </c>
      <c r="E65" s="9">
        <v>10</v>
      </c>
    </row>
    <row r="66" spans="1:5" x14ac:dyDescent="0.25">
      <c r="A66" s="2">
        <v>65</v>
      </c>
      <c r="B66" s="2" t="s">
        <v>8</v>
      </c>
      <c r="C66" s="3">
        <v>31</v>
      </c>
      <c r="D66" s="2">
        <v>8</v>
      </c>
      <c r="E66" s="9">
        <v>9</v>
      </c>
    </row>
    <row r="67" spans="1:5" x14ac:dyDescent="0.25">
      <c r="A67" s="2">
        <v>66</v>
      </c>
      <c r="B67" s="2" t="s">
        <v>4</v>
      </c>
      <c r="C67" s="3">
        <v>68</v>
      </c>
      <c r="D67" s="2">
        <v>2</v>
      </c>
      <c r="E67" s="9">
        <v>10</v>
      </c>
    </row>
    <row r="68" spans="1:5" x14ac:dyDescent="0.25">
      <c r="A68" s="2">
        <v>67</v>
      </c>
      <c r="B68" s="2" t="s">
        <v>5</v>
      </c>
      <c r="C68" s="3">
        <v>65</v>
      </c>
      <c r="D68" s="2">
        <v>8</v>
      </c>
      <c r="E68" s="9">
        <v>1</v>
      </c>
    </row>
    <row r="69" spans="1:5" x14ac:dyDescent="0.25">
      <c r="A69" s="2">
        <v>68</v>
      </c>
      <c r="B69" s="2" t="s">
        <v>6</v>
      </c>
      <c r="C69" s="3">
        <v>58</v>
      </c>
      <c r="D69" s="2">
        <v>11</v>
      </c>
      <c r="E69" s="9">
        <v>6</v>
      </c>
    </row>
    <row r="70" spans="1:5" x14ac:dyDescent="0.25">
      <c r="A70" s="2">
        <v>69</v>
      </c>
      <c r="B70" s="2" t="s">
        <v>7</v>
      </c>
      <c r="C70" s="3">
        <v>67</v>
      </c>
      <c r="D70" s="2">
        <v>7</v>
      </c>
      <c r="E70" s="9">
        <v>12</v>
      </c>
    </row>
    <row r="71" spans="1:5" x14ac:dyDescent="0.25">
      <c r="A71" s="2">
        <v>70</v>
      </c>
      <c r="B71" s="2" t="s">
        <v>8</v>
      </c>
      <c r="C71" s="3">
        <v>74</v>
      </c>
      <c r="D71" s="2">
        <v>14</v>
      </c>
      <c r="E71" s="9">
        <v>3</v>
      </c>
    </row>
    <row r="72" spans="1:5" x14ac:dyDescent="0.25">
      <c r="A72" s="2">
        <v>71</v>
      </c>
      <c r="B72" s="2" t="s">
        <v>4</v>
      </c>
      <c r="C72" s="3">
        <v>45</v>
      </c>
      <c r="D72" s="2">
        <v>12</v>
      </c>
      <c r="E72" s="9">
        <v>2</v>
      </c>
    </row>
    <row r="73" spans="1:5" x14ac:dyDescent="0.25">
      <c r="A73" s="2">
        <v>72</v>
      </c>
      <c r="B73" s="2" t="s">
        <v>5</v>
      </c>
      <c r="C73" s="3">
        <v>53</v>
      </c>
      <c r="D73" s="2">
        <v>15</v>
      </c>
      <c r="E73" s="9">
        <v>9</v>
      </c>
    </row>
    <row r="74" spans="1:5" x14ac:dyDescent="0.25">
      <c r="A74" s="2">
        <v>73</v>
      </c>
      <c r="B74" s="2" t="s">
        <v>6</v>
      </c>
      <c r="C74" s="3">
        <v>22</v>
      </c>
      <c r="D74" s="2">
        <v>10</v>
      </c>
      <c r="E74" s="9">
        <v>8</v>
      </c>
    </row>
    <row r="75" spans="1:5" x14ac:dyDescent="0.25">
      <c r="A75" s="2">
        <v>74</v>
      </c>
      <c r="B75" s="2" t="s">
        <v>7</v>
      </c>
      <c r="C75" s="3">
        <v>73</v>
      </c>
      <c r="D75" s="2">
        <v>15</v>
      </c>
      <c r="E75" s="9">
        <v>11</v>
      </c>
    </row>
    <row r="76" spans="1:5" x14ac:dyDescent="0.25">
      <c r="A76" s="2">
        <v>75</v>
      </c>
      <c r="B76" s="2" t="s">
        <v>8</v>
      </c>
      <c r="C76" s="3">
        <v>32</v>
      </c>
      <c r="D76" s="2">
        <v>3</v>
      </c>
      <c r="E76" s="9">
        <v>7</v>
      </c>
    </row>
    <row r="77" spans="1:5" x14ac:dyDescent="0.25">
      <c r="A77" s="2">
        <v>76</v>
      </c>
      <c r="B77" s="2" t="s">
        <v>4</v>
      </c>
      <c r="C77" s="3">
        <v>64</v>
      </c>
      <c r="D77" s="2">
        <v>12</v>
      </c>
      <c r="E77" s="9">
        <v>12</v>
      </c>
    </row>
    <row r="78" spans="1:5" x14ac:dyDescent="0.25">
      <c r="A78" s="2">
        <v>77</v>
      </c>
      <c r="B78" s="2" t="s">
        <v>5</v>
      </c>
      <c r="C78" s="3">
        <v>67</v>
      </c>
      <c r="D78" s="2">
        <v>4</v>
      </c>
      <c r="E78" s="9">
        <v>7</v>
      </c>
    </row>
    <row r="79" spans="1:5" x14ac:dyDescent="0.25">
      <c r="A79" s="2">
        <v>78</v>
      </c>
      <c r="B79" s="2" t="s">
        <v>6</v>
      </c>
      <c r="C79" s="3">
        <v>54</v>
      </c>
      <c r="D79" s="2">
        <v>4</v>
      </c>
      <c r="E79" s="9">
        <v>9</v>
      </c>
    </row>
    <row r="80" spans="1:5" x14ac:dyDescent="0.25">
      <c r="A80" s="2">
        <v>79</v>
      </c>
      <c r="B80" s="2" t="s">
        <v>7</v>
      </c>
      <c r="C80" s="3">
        <v>27</v>
      </c>
      <c r="D80" s="2">
        <v>4</v>
      </c>
      <c r="E80" s="9">
        <v>11</v>
      </c>
    </row>
    <row r="81" spans="1:5" x14ac:dyDescent="0.25">
      <c r="A81" s="2">
        <v>80</v>
      </c>
      <c r="B81" s="2" t="s">
        <v>8</v>
      </c>
      <c r="C81" s="3">
        <v>18</v>
      </c>
      <c r="D81" s="2">
        <v>8</v>
      </c>
      <c r="E81" s="9">
        <v>10</v>
      </c>
    </row>
    <row r="82" spans="1:5" x14ac:dyDescent="0.25">
      <c r="A82" s="2">
        <v>81</v>
      </c>
      <c r="B82" s="2" t="s">
        <v>4</v>
      </c>
      <c r="C82" s="3">
        <v>78</v>
      </c>
      <c r="D82" s="2">
        <v>3</v>
      </c>
      <c r="E82" s="9">
        <v>2</v>
      </c>
    </row>
    <row r="83" spans="1:5" x14ac:dyDescent="0.25">
      <c r="A83" s="2">
        <v>82</v>
      </c>
      <c r="B83" s="2" t="s">
        <v>5</v>
      </c>
      <c r="C83" s="3">
        <v>79</v>
      </c>
      <c r="D83" s="2">
        <v>7</v>
      </c>
      <c r="E83" s="9">
        <v>1</v>
      </c>
    </row>
    <row r="84" spans="1:5" x14ac:dyDescent="0.25">
      <c r="A84" s="2">
        <v>83</v>
      </c>
      <c r="B84" s="2" t="s">
        <v>6</v>
      </c>
      <c r="C84" s="3">
        <v>27</v>
      </c>
      <c r="D84" s="2">
        <v>10</v>
      </c>
      <c r="E84" s="9">
        <v>11</v>
      </c>
    </row>
    <row r="85" spans="1:5" x14ac:dyDescent="0.25">
      <c r="A85" s="2">
        <v>84</v>
      </c>
      <c r="B85" s="2" t="s">
        <v>7</v>
      </c>
      <c r="C85" s="3">
        <v>25</v>
      </c>
      <c r="D85" s="2">
        <v>11</v>
      </c>
      <c r="E85" s="9">
        <v>12</v>
      </c>
    </row>
    <row r="86" spans="1:5" x14ac:dyDescent="0.25">
      <c r="A86" s="2">
        <v>85</v>
      </c>
      <c r="B86" s="2" t="s">
        <v>8</v>
      </c>
      <c r="C86" s="3">
        <v>18</v>
      </c>
      <c r="D86" s="2">
        <v>13</v>
      </c>
      <c r="E86" s="9">
        <v>11</v>
      </c>
    </row>
    <row r="87" spans="1:5" x14ac:dyDescent="0.25">
      <c r="A87" s="2">
        <v>86</v>
      </c>
      <c r="B87" s="2" t="s">
        <v>4</v>
      </c>
      <c r="C87" s="3">
        <v>32</v>
      </c>
      <c r="D87" s="2">
        <v>12</v>
      </c>
      <c r="E87" s="9">
        <v>9</v>
      </c>
    </row>
    <row r="88" spans="1:5" x14ac:dyDescent="0.25">
      <c r="A88" s="2">
        <v>87</v>
      </c>
      <c r="B88" s="2" t="s">
        <v>5</v>
      </c>
      <c r="C88" s="3">
        <v>71</v>
      </c>
      <c r="D88" s="2">
        <v>11</v>
      </c>
      <c r="E88" s="9">
        <v>10</v>
      </c>
    </row>
    <row r="89" spans="1:5" x14ac:dyDescent="0.25">
      <c r="A89" s="2">
        <v>88</v>
      </c>
      <c r="B89" s="2" t="s">
        <v>6</v>
      </c>
      <c r="C89" s="3">
        <v>60</v>
      </c>
      <c r="D89" s="2">
        <v>12</v>
      </c>
      <c r="E89" s="9">
        <v>3</v>
      </c>
    </row>
    <row r="90" spans="1:5" x14ac:dyDescent="0.25">
      <c r="A90" s="2">
        <v>89</v>
      </c>
      <c r="B90" s="2" t="s">
        <v>7</v>
      </c>
      <c r="C90" s="3">
        <v>37</v>
      </c>
      <c r="D90" s="2">
        <v>10</v>
      </c>
      <c r="E90" s="9">
        <v>6</v>
      </c>
    </row>
    <row r="91" spans="1:5" x14ac:dyDescent="0.25">
      <c r="A91" s="2">
        <v>90</v>
      </c>
      <c r="B91" s="2" t="s">
        <v>8</v>
      </c>
      <c r="C91" s="3">
        <v>81</v>
      </c>
      <c r="D91" s="2">
        <v>13</v>
      </c>
      <c r="E91" s="9">
        <v>12</v>
      </c>
    </row>
    <row r="92" spans="1:5" x14ac:dyDescent="0.25">
      <c r="A92" s="2">
        <v>91</v>
      </c>
      <c r="B92" s="2" t="s">
        <v>4</v>
      </c>
      <c r="C92" s="3">
        <v>29</v>
      </c>
      <c r="D92" s="2">
        <v>8</v>
      </c>
      <c r="E92" s="9">
        <v>1</v>
      </c>
    </row>
    <row r="93" spans="1:5" x14ac:dyDescent="0.25">
      <c r="A93" s="2">
        <v>92</v>
      </c>
      <c r="B93" s="2" t="s">
        <v>5</v>
      </c>
      <c r="C93" s="3">
        <v>22</v>
      </c>
      <c r="D93" s="2">
        <v>4</v>
      </c>
      <c r="E93" s="9">
        <v>2</v>
      </c>
    </row>
    <row r="94" spans="1:5" x14ac:dyDescent="0.25">
      <c r="A94" s="2">
        <v>93</v>
      </c>
      <c r="B94" s="2" t="s">
        <v>6</v>
      </c>
      <c r="C94" s="3">
        <v>37</v>
      </c>
      <c r="D94" s="2">
        <v>9</v>
      </c>
      <c r="E94" s="9">
        <v>2</v>
      </c>
    </row>
    <row r="95" spans="1:5" x14ac:dyDescent="0.25">
      <c r="A95" s="2">
        <v>94</v>
      </c>
      <c r="B95" s="2" t="s">
        <v>7</v>
      </c>
      <c r="C95" s="3">
        <v>43</v>
      </c>
      <c r="D95" s="2">
        <v>9</v>
      </c>
      <c r="E95" s="9">
        <v>4</v>
      </c>
    </row>
    <row r="96" spans="1:5" x14ac:dyDescent="0.25">
      <c r="A96" s="2">
        <v>95</v>
      </c>
      <c r="B96" s="2" t="s">
        <v>8</v>
      </c>
      <c r="C96" s="3">
        <v>78</v>
      </c>
      <c r="D96" s="2">
        <v>5</v>
      </c>
      <c r="E96" s="9">
        <v>7</v>
      </c>
    </row>
    <row r="97" spans="1:5" x14ac:dyDescent="0.25">
      <c r="A97" s="2">
        <v>96</v>
      </c>
      <c r="B97" s="2" t="s">
        <v>4</v>
      </c>
      <c r="C97" s="3">
        <v>27</v>
      </c>
      <c r="D97" s="2">
        <v>10</v>
      </c>
      <c r="E97" s="9">
        <v>6</v>
      </c>
    </row>
    <row r="98" spans="1:5" x14ac:dyDescent="0.25">
      <c r="A98" s="2">
        <v>97</v>
      </c>
      <c r="B98" s="2" t="s">
        <v>5</v>
      </c>
      <c r="C98" s="3">
        <v>19</v>
      </c>
      <c r="D98" s="2">
        <v>5</v>
      </c>
      <c r="E98" s="9">
        <v>1</v>
      </c>
    </row>
    <row r="99" spans="1:5" x14ac:dyDescent="0.25">
      <c r="A99" s="2">
        <v>98</v>
      </c>
      <c r="B99" s="2" t="s">
        <v>6</v>
      </c>
      <c r="C99" s="3">
        <v>51</v>
      </c>
      <c r="D99" s="2">
        <v>8</v>
      </c>
      <c r="E99" s="9">
        <v>12</v>
      </c>
    </row>
    <row r="100" spans="1:5" x14ac:dyDescent="0.25">
      <c r="A100" s="2">
        <v>99</v>
      </c>
      <c r="B100" s="2" t="s">
        <v>7</v>
      </c>
      <c r="C100" s="3">
        <v>68</v>
      </c>
      <c r="D100" s="2">
        <v>15</v>
      </c>
      <c r="E100" s="9">
        <v>3</v>
      </c>
    </row>
    <row r="101" spans="1:5" x14ac:dyDescent="0.25">
      <c r="A101" s="2">
        <v>100</v>
      </c>
      <c r="B101" s="2" t="s">
        <v>8</v>
      </c>
      <c r="C101" s="3">
        <v>20</v>
      </c>
      <c r="D101" s="2">
        <v>3</v>
      </c>
      <c r="E101" s="9">
        <v>10</v>
      </c>
    </row>
    <row r="102" spans="1:5" x14ac:dyDescent="0.25">
      <c r="A102" s="2">
        <v>101</v>
      </c>
      <c r="B102" s="2" t="s">
        <v>4</v>
      </c>
      <c r="C102" s="3">
        <v>76</v>
      </c>
      <c r="D102" s="2">
        <v>2</v>
      </c>
      <c r="E102" s="9">
        <v>9</v>
      </c>
    </row>
    <row r="103" spans="1:5" x14ac:dyDescent="0.25">
      <c r="A103" s="2">
        <v>102</v>
      </c>
      <c r="B103" s="2" t="s">
        <v>5</v>
      </c>
      <c r="C103" s="3">
        <v>81</v>
      </c>
      <c r="D103" s="2">
        <v>10</v>
      </c>
      <c r="E103" s="9">
        <v>11</v>
      </c>
    </row>
    <row r="104" spans="1:5" x14ac:dyDescent="0.25">
      <c r="A104" s="2">
        <v>103</v>
      </c>
      <c r="B104" s="2" t="s">
        <v>6</v>
      </c>
      <c r="C104" s="3">
        <v>74</v>
      </c>
      <c r="D104" s="2">
        <v>5</v>
      </c>
      <c r="E104" s="9">
        <v>2</v>
      </c>
    </row>
    <row r="105" spans="1:5" x14ac:dyDescent="0.25">
      <c r="A105" s="2">
        <v>104</v>
      </c>
      <c r="B105" s="2" t="s">
        <v>7</v>
      </c>
      <c r="C105" s="3">
        <v>81</v>
      </c>
      <c r="D105" s="2">
        <v>7</v>
      </c>
      <c r="E105" s="9">
        <v>5</v>
      </c>
    </row>
    <row r="106" spans="1:5" x14ac:dyDescent="0.25">
      <c r="A106" s="2">
        <v>105</v>
      </c>
      <c r="B106" s="2" t="s">
        <v>8</v>
      </c>
      <c r="C106" s="3">
        <v>28</v>
      </c>
      <c r="D106" s="2">
        <v>4</v>
      </c>
      <c r="E106" s="9">
        <v>7</v>
      </c>
    </row>
    <row r="107" spans="1:5" x14ac:dyDescent="0.25">
      <c r="A107" s="2">
        <v>106</v>
      </c>
      <c r="B107" s="2" t="s">
        <v>4</v>
      </c>
      <c r="C107" s="3">
        <v>68</v>
      </c>
      <c r="D107" s="2">
        <v>8</v>
      </c>
      <c r="E107" s="9">
        <v>12</v>
      </c>
    </row>
    <row r="108" spans="1:5" x14ac:dyDescent="0.25">
      <c r="A108" s="2">
        <v>107</v>
      </c>
      <c r="B108" s="2" t="s">
        <v>5</v>
      </c>
      <c r="C108" s="3">
        <v>74</v>
      </c>
      <c r="D108" s="2">
        <v>12</v>
      </c>
      <c r="E108" s="9">
        <v>6</v>
      </c>
    </row>
    <row r="109" spans="1:5" x14ac:dyDescent="0.25">
      <c r="A109" s="2">
        <v>108</v>
      </c>
      <c r="B109" s="2" t="s">
        <v>6</v>
      </c>
      <c r="C109" s="3">
        <v>66</v>
      </c>
      <c r="D109" s="2">
        <v>7</v>
      </c>
      <c r="E109" s="9">
        <v>6</v>
      </c>
    </row>
    <row r="110" spans="1:5" x14ac:dyDescent="0.25">
      <c r="A110" s="2">
        <v>109</v>
      </c>
      <c r="B110" s="2" t="s">
        <v>7</v>
      </c>
      <c r="C110" s="3">
        <v>29</v>
      </c>
      <c r="D110" s="2">
        <v>15</v>
      </c>
      <c r="E110" s="9">
        <v>11</v>
      </c>
    </row>
    <row r="111" spans="1:5" x14ac:dyDescent="0.25">
      <c r="A111" s="2">
        <v>110</v>
      </c>
      <c r="B111" s="2" t="s">
        <v>8</v>
      </c>
      <c r="C111" s="3">
        <v>82</v>
      </c>
      <c r="D111" s="2">
        <v>14</v>
      </c>
      <c r="E111" s="9">
        <v>3</v>
      </c>
    </row>
    <row r="112" spans="1:5" x14ac:dyDescent="0.25">
      <c r="A112" s="2">
        <v>111</v>
      </c>
      <c r="B112" s="2" t="s">
        <v>4</v>
      </c>
      <c r="C112" s="3">
        <v>77</v>
      </c>
      <c r="D112" s="2">
        <v>14</v>
      </c>
      <c r="E112" s="9">
        <v>4</v>
      </c>
    </row>
    <row r="113" spans="1:5" x14ac:dyDescent="0.25">
      <c r="A113" s="2">
        <v>112</v>
      </c>
      <c r="B113" s="2" t="s">
        <v>5</v>
      </c>
      <c r="C113" s="3">
        <v>41</v>
      </c>
      <c r="D113" s="2">
        <v>8</v>
      </c>
      <c r="E113" s="9">
        <v>7</v>
      </c>
    </row>
    <row r="114" spans="1:5" x14ac:dyDescent="0.25">
      <c r="A114" s="2">
        <v>113</v>
      </c>
      <c r="B114" s="2" t="s">
        <v>6</v>
      </c>
      <c r="C114" s="3">
        <v>40</v>
      </c>
      <c r="D114" s="2">
        <v>12</v>
      </c>
      <c r="E114" s="9">
        <v>12</v>
      </c>
    </row>
    <row r="115" spans="1:5" x14ac:dyDescent="0.25">
      <c r="A115" s="2">
        <v>114</v>
      </c>
      <c r="B115" s="2" t="s">
        <v>7</v>
      </c>
      <c r="C115" s="3">
        <v>37</v>
      </c>
      <c r="D115" s="2">
        <v>15</v>
      </c>
      <c r="E115" s="9">
        <v>5</v>
      </c>
    </row>
    <row r="116" spans="1:5" x14ac:dyDescent="0.25">
      <c r="A116" s="2">
        <v>115</v>
      </c>
      <c r="B116" s="2" t="s">
        <v>8</v>
      </c>
      <c r="C116" s="3">
        <v>45</v>
      </c>
      <c r="D116" s="2">
        <v>5</v>
      </c>
      <c r="E116" s="9">
        <v>2</v>
      </c>
    </row>
    <row r="117" spans="1:5" x14ac:dyDescent="0.25">
      <c r="A117" s="2">
        <v>116</v>
      </c>
      <c r="B117" s="2" t="s">
        <v>4</v>
      </c>
      <c r="C117" s="3">
        <v>61</v>
      </c>
      <c r="D117" s="2">
        <v>9</v>
      </c>
      <c r="E117" s="9">
        <v>8</v>
      </c>
    </row>
    <row r="118" spans="1:5" x14ac:dyDescent="0.25">
      <c r="A118" s="2">
        <v>117</v>
      </c>
      <c r="B118" s="2" t="s">
        <v>5</v>
      </c>
      <c r="C118" s="3">
        <v>43</v>
      </c>
      <c r="D118" s="2">
        <v>15</v>
      </c>
      <c r="E118" s="9">
        <v>8</v>
      </c>
    </row>
    <row r="119" spans="1:5" x14ac:dyDescent="0.25">
      <c r="A119" s="2">
        <v>118</v>
      </c>
      <c r="B119" s="2" t="s">
        <v>6</v>
      </c>
      <c r="C119" s="3">
        <v>56</v>
      </c>
      <c r="D119" s="2">
        <v>10</v>
      </c>
      <c r="E119" s="9">
        <v>2</v>
      </c>
    </row>
    <row r="120" spans="1:5" x14ac:dyDescent="0.25">
      <c r="A120" s="2">
        <v>119</v>
      </c>
      <c r="B120" s="2" t="s">
        <v>7</v>
      </c>
      <c r="C120" s="3">
        <v>30</v>
      </c>
      <c r="D120" s="2">
        <v>4</v>
      </c>
      <c r="E120" s="9">
        <v>5</v>
      </c>
    </row>
    <row r="121" spans="1:5" x14ac:dyDescent="0.25">
      <c r="A121" s="2">
        <v>120</v>
      </c>
      <c r="B121" s="2" t="s">
        <v>8</v>
      </c>
      <c r="C121" s="3">
        <v>52</v>
      </c>
      <c r="D121" s="2">
        <v>3</v>
      </c>
      <c r="E121" s="9">
        <v>8</v>
      </c>
    </row>
    <row r="122" spans="1:5" x14ac:dyDescent="0.25">
      <c r="A122" s="2">
        <v>121</v>
      </c>
      <c r="B122" s="2" t="s">
        <v>4</v>
      </c>
      <c r="C122" s="3">
        <v>74</v>
      </c>
      <c r="D122" s="2">
        <v>8</v>
      </c>
      <c r="E122" s="9">
        <v>10</v>
      </c>
    </row>
    <row r="123" spans="1:5" x14ac:dyDescent="0.25">
      <c r="A123" s="2">
        <v>122</v>
      </c>
      <c r="B123" s="2" t="s">
        <v>5</v>
      </c>
      <c r="C123" s="3">
        <v>48</v>
      </c>
      <c r="D123" s="2">
        <v>8</v>
      </c>
      <c r="E123" s="9">
        <v>2</v>
      </c>
    </row>
    <row r="124" spans="1:5" x14ac:dyDescent="0.25">
      <c r="A124" s="2">
        <v>123</v>
      </c>
      <c r="B124" s="2" t="s">
        <v>6</v>
      </c>
      <c r="C124" s="3">
        <v>47</v>
      </c>
      <c r="D124" s="2">
        <v>3</v>
      </c>
      <c r="E124" s="9">
        <v>5</v>
      </c>
    </row>
    <row r="125" spans="1:5" x14ac:dyDescent="0.25">
      <c r="A125" s="2">
        <v>124</v>
      </c>
      <c r="B125" s="2" t="s">
        <v>7</v>
      </c>
      <c r="C125" s="3">
        <v>65</v>
      </c>
      <c r="D125" s="2">
        <v>9</v>
      </c>
      <c r="E125" s="9">
        <v>10</v>
      </c>
    </row>
    <row r="126" spans="1:5" x14ac:dyDescent="0.25">
      <c r="A126" s="2">
        <v>125</v>
      </c>
      <c r="B126" s="2" t="s">
        <v>8</v>
      </c>
      <c r="C126" s="3">
        <v>57</v>
      </c>
      <c r="D126" s="2">
        <v>8</v>
      </c>
      <c r="E126" s="9">
        <v>4</v>
      </c>
    </row>
    <row r="127" spans="1:5" x14ac:dyDescent="0.25">
      <c r="A127" s="2">
        <v>126</v>
      </c>
      <c r="B127" s="2" t="s">
        <v>4</v>
      </c>
      <c r="C127" s="3">
        <v>51</v>
      </c>
      <c r="D127" s="2">
        <v>12</v>
      </c>
      <c r="E127" s="9">
        <v>3</v>
      </c>
    </row>
    <row r="128" spans="1:5" x14ac:dyDescent="0.25">
      <c r="A128" s="2">
        <v>127</v>
      </c>
      <c r="B128" s="2" t="s">
        <v>5</v>
      </c>
      <c r="C128" s="3">
        <v>19</v>
      </c>
      <c r="D128" s="2">
        <v>9</v>
      </c>
      <c r="E128" s="9">
        <v>12</v>
      </c>
    </row>
    <row r="129" spans="1:5" x14ac:dyDescent="0.25">
      <c r="A129" s="2">
        <v>128</v>
      </c>
      <c r="B129" s="2" t="s">
        <v>6</v>
      </c>
      <c r="C129" s="3">
        <v>34</v>
      </c>
      <c r="D129" s="2">
        <v>5</v>
      </c>
      <c r="E129" s="9">
        <v>12</v>
      </c>
    </row>
    <row r="130" spans="1:5" x14ac:dyDescent="0.25">
      <c r="A130" s="2">
        <v>129</v>
      </c>
      <c r="B130" s="2" t="s">
        <v>7</v>
      </c>
      <c r="C130" s="3">
        <v>46</v>
      </c>
      <c r="D130" s="2">
        <v>12</v>
      </c>
      <c r="E130" s="9">
        <v>6</v>
      </c>
    </row>
    <row r="131" spans="1:5" x14ac:dyDescent="0.25">
      <c r="A131" s="2">
        <v>130</v>
      </c>
      <c r="B131" s="2" t="s">
        <v>8</v>
      </c>
      <c r="C131" s="3">
        <v>39</v>
      </c>
      <c r="D131" s="2">
        <v>7</v>
      </c>
      <c r="E131" s="9">
        <v>3</v>
      </c>
    </row>
    <row r="132" spans="1:5" x14ac:dyDescent="0.25">
      <c r="A132" s="2">
        <v>131</v>
      </c>
      <c r="B132" s="2" t="s">
        <v>4</v>
      </c>
      <c r="C132" s="3">
        <v>43</v>
      </c>
      <c r="D132" s="2">
        <v>3</v>
      </c>
      <c r="E132" s="9">
        <v>5</v>
      </c>
    </row>
    <row r="133" spans="1:5" x14ac:dyDescent="0.25">
      <c r="A133" s="2">
        <v>132</v>
      </c>
      <c r="B133" s="2" t="s">
        <v>5</v>
      </c>
      <c r="C133" s="3">
        <v>27</v>
      </c>
      <c r="D133" s="2">
        <v>9</v>
      </c>
      <c r="E133" s="9">
        <v>4</v>
      </c>
    </row>
    <row r="134" spans="1:5" x14ac:dyDescent="0.25">
      <c r="A134" s="2">
        <v>133</v>
      </c>
      <c r="B134" s="2" t="s">
        <v>6</v>
      </c>
      <c r="C134" s="3">
        <v>33</v>
      </c>
      <c r="D134" s="2">
        <v>14</v>
      </c>
      <c r="E134" s="9">
        <v>11</v>
      </c>
    </row>
    <row r="135" spans="1:5" x14ac:dyDescent="0.25">
      <c r="A135" s="2">
        <v>134</v>
      </c>
      <c r="B135" s="2" t="s">
        <v>7</v>
      </c>
      <c r="C135" s="3">
        <v>21</v>
      </c>
      <c r="D135" s="2">
        <v>10</v>
      </c>
      <c r="E135" s="9">
        <v>5</v>
      </c>
    </row>
    <row r="136" spans="1:5" x14ac:dyDescent="0.25">
      <c r="A136" s="2">
        <v>135</v>
      </c>
      <c r="B136" s="2" t="s">
        <v>8</v>
      </c>
      <c r="C136" s="3">
        <v>38</v>
      </c>
      <c r="D136" s="2">
        <v>2</v>
      </c>
      <c r="E136" s="9">
        <v>11</v>
      </c>
    </row>
    <row r="137" spans="1:5" x14ac:dyDescent="0.25">
      <c r="A137" s="2">
        <v>136</v>
      </c>
      <c r="B137" s="2" t="s">
        <v>4</v>
      </c>
      <c r="C137" s="3">
        <v>25</v>
      </c>
      <c r="D137" s="2">
        <v>13</v>
      </c>
      <c r="E137" s="9">
        <v>5</v>
      </c>
    </row>
    <row r="138" spans="1:5" x14ac:dyDescent="0.25">
      <c r="A138" s="2">
        <v>137</v>
      </c>
      <c r="B138" s="2" t="s">
        <v>5</v>
      </c>
      <c r="C138" s="3">
        <v>43</v>
      </c>
      <c r="D138" s="2">
        <v>15</v>
      </c>
      <c r="E138" s="9">
        <v>6</v>
      </c>
    </row>
    <row r="139" spans="1:5" x14ac:dyDescent="0.25">
      <c r="A139" s="2">
        <v>138</v>
      </c>
      <c r="B139" s="2" t="s">
        <v>6</v>
      </c>
      <c r="C139" s="3">
        <v>44</v>
      </c>
      <c r="D139" s="2">
        <v>4</v>
      </c>
      <c r="E139" s="9">
        <v>9</v>
      </c>
    </row>
    <row r="140" spans="1:5" x14ac:dyDescent="0.25">
      <c r="A140" s="2">
        <v>139</v>
      </c>
      <c r="B140" s="2" t="s">
        <v>7</v>
      </c>
      <c r="C140" s="3">
        <v>51</v>
      </c>
      <c r="D140" s="2">
        <v>10</v>
      </c>
      <c r="E140" s="9">
        <v>8</v>
      </c>
    </row>
    <row r="141" spans="1:5" x14ac:dyDescent="0.25">
      <c r="A141" s="2">
        <v>140</v>
      </c>
      <c r="B141" s="2" t="s">
        <v>8</v>
      </c>
      <c r="C141" s="3">
        <v>73</v>
      </c>
      <c r="D141" s="2">
        <v>4</v>
      </c>
      <c r="E141" s="9">
        <v>10</v>
      </c>
    </row>
    <row r="142" spans="1:5" x14ac:dyDescent="0.25">
      <c r="A142" s="2">
        <v>141</v>
      </c>
      <c r="B142" s="2" t="s">
        <v>4</v>
      </c>
      <c r="C142" s="3">
        <v>29</v>
      </c>
      <c r="D142" s="2">
        <v>3</v>
      </c>
      <c r="E142" s="9">
        <v>6</v>
      </c>
    </row>
    <row r="143" spans="1:5" x14ac:dyDescent="0.25">
      <c r="A143" s="2">
        <v>142</v>
      </c>
      <c r="B143" s="2" t="s">
        <v>5</v>
      </c>
      <c r="C143" s="3">
        <v>60</v>
      </c>
      <c r="D143" s="2">
        <v>4</v>
      </c>
      <c r="E143" s="9">
        <v>2</v>
      </c>
    </row>
    <row r="144" spans="1:5" x14ac:dyDescent="0.25">
      <c r="A144" s="2">
        <v>143</v>
      </c>
      <c r="B144" s="2" t="s">
        <v>6</v>
      </c>
      <c r="C144" s="3">
        <v>44</v>
      </c>
      <c r="D144" s="2">
        <v>6</v>
      </c>
      <c r="E144" s="9">
        <v>4</v>
      </c>
    </row>
    <row r="145" spans="1:5" x14ac:dyDescent="0.25">
      <c r="A145" s="2">
        <v>144</v>
      </c>
      <c r="B145" s="2" t="s">
        <v>7</v>
      </c>
      <c r="C145" s="3">
        <v>67</v>
      </c>
      <c r="D145" s="2">
        <v>15</v>
      </c>
      <c r="E145" s="9">
        <v>12</v>
      </c>
    </row>
    <row r="146" spans="1:5" x14ac:dyDescent="0.25">
      <c r="A146" s="2">
        <v>145</v>
      </c>
      <c r="B146" s="2" t="s">
        <v>8</v>
      </c>
      <c r="C146" s="3">
        <v>41</v>
      </c>
      <c r="D146" s="2">
        <v>14</v>
      </c>
      <c r="E146" s="9">
        <v>10</v>
      </c>
    </row>
    <row r="147" spans="1:5" x14ac:dyDescent="0.25">
      <c r="A147" s="2">
        <v>146</v>
      </c>
      <c r="B147" s="2" t="s">
        <v>4</v>
      </c>
      <c r="C147" s="3">
        <v>74</v>
      </c>
      <c r="D147" s="2">
        <v>7</v>
      </c>
      <c r="E147" s="9">
        <v>7</v>
      </c>
    </row>
    <row r="148" spans="1:5" x14ac:dyDescent="0.25">
      <c r="A148" s="2">
        <v>147</v>
      </c>
      <c r="B148" s="2" t="s">
        <v>5</v>
      </c>
      <c r="C148" s="3">
        <v>26</v>
      </c>
      <c r="D148" s="2">
        <v>2</v>
      </c>
      <c r="E148" s="9">
        <v>1</v>
      </c>
    </row>
    <row r="149" spans="1:5" x14ac:dyDescent="0.25">
      <c r="A149" s="2">
        <v>148</v>
      </c>
      <c r="B149" s="2" t="s">
        <v>6</v>
      </c>
      <c r="C149" s="3">
        <v>56</v>
      </c>
      <c r="D149" s="2">
        <v>15</v>
      </c>
      <c r="E149" s="9">
        <v>6</v>
      </c>
    </row>
    <row r="150" spans="1:5" x14ac:dyDescent="0.25">
      <c r="A150" s="2">
        <v>149</v>
      </c>
      <c r="B150" s="2" t="s">
        <v>7</v>
      </c>
      <c r="C150" s="3">
        <v>80</v>
      </c>
      <c r="D150" s="2">
        <v>7</v>
      </c>
      <c r="E150" s="9">
        <v>7</v>
      </c>
    </row>
    <row r="151" spans="1:5" x14ac:dyDescent="0.25">
      <c r="A151" s="2">
        <v>150</v>
      </c>
      <c r="B151" s="2" t="s">
        <v>8</v>
      </c>
      <c r="C151" s="3">
        <v>76</v>
      </c>
      <c r="D151" s="2">
        <v>3</v>
      </c>
      <c r="E151" s="9">
        <v>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zoomScale="205" zoomScaleNormal="205" workbookViewId="0">
      <selection activeCell="I8" sqref="I8"/>
    </sheetView>
  </sheetViews>
  <sheetFormatPr defaultRowHeight="15" x14ac:dyDescent="0.25"/>
  <cols>
    <col min="1" max="1" width="0.28515625" customWidth="1"/>
    <col min="3" max="3" width="11" customWidth="1"/>
    <col min="4" max="4" width="9.5703125" bestFit="1" customWidth="1"/>
  </cols>
  <sheetData>
    <row r="1" spans="1:9" ht="0.75" customHeight="1" x14ac:dyDescent="0.25"/>
    <row r="5" spans="1:9" x14ac:dyDescent="0.25">
      <c r="I5" s="2"/>
    </row>
    <row r="6" spans="1:9" x14ac:dyDescent="0.25">
      <c r="A6">
        <v>1</v>
      </c>
      <c r="B6" t="s">
        <v>1</v>
      </c>
      <c r="C6" t="s">
        <v>2</v>
      </c>
      <c r="D6" t="s">
        <v>3</v>
      </c>
      <c r="E6" t="s">
        <v>10</v>
      </c>
      <c r="I6" s="2"/>
    </row>
    <row r="7" spans="1:9" ht="1.5" customHeight="1" x14ac:dyDescent="0.25">
      <c r="I7" s="2"/>
    </row>
    <row r="8" spans="1:9" x14ac:dyDescent="0.25">
      <c r="A8">
        <v>1</v>
      </c>
      <c r="B8" s="2" t="s">
        <v>4</v>
      </c>
      <c r="C8" s="5">
        <f>SUMIF(BANCO!$B$2:$B$1000,Plan2!$B8,BANCO!$C$2:$C$1000)</f>
        <v>4177</v>
      </c>
      <c r="D8">
        <f>SUMIF(BANCO!$B$2:$B$1000,Plan2!$B8,BANCO!$D$2:$D$1000)</f>
        <v>266</v>
      </c>
      <c r="E8" s="8">
        <f>SUM(C8/$C$14)</f>
        <v>0.40787032516355826</v>
      </c>
      <c r="I8" s="2"/>
    </row>
    <row r="9" spans="1:9" x14ac:dyDescent="0.25">
      <c r="A9">
        <v>2</v>
      </c>
      <c r="B9" s="2" t="s">
        <v>5</v>
      </c>
      <c r="C9" s="5">
        <f>SUMIF(BANCO!$B$2:$B$1000,Plan2!$B9,BANCO!$C$2:$C$1000)</f>
        <v>1499</v>
      </c>
      <c r="D9">
        <f>SUMIF(BANCO!$B$2:$B$1000,Plan2!$B9,BANCO!$D$2:$D$1000)</f>
        <v>280</v>
      </c>
      <c r="E9" s="8">
        <f t="shared" ref="E9:E12" si="0">SUM(C9/$C$14)</f>
        <v>0.1463724245679133</v>
      </c>
      <c r="I9" s="2"/>
    </row>
    <row r="10" spans="1:9" x14ac:dyDescent="0.25">
      <c r="A10">
        <v>3</v>
      </c>
      <c r="B10" s="2" t="s">
        <v>6</v>
      </c>
      <c r="C10" s="5">
        <f>SUMIF(BANCO!$B$2:$B$1000,Plan2!$B10,BANCO!$C$2:$C$1000)</f>
        <v>1488</v>
      </c>
      <c r="D10">
        <f>SUMIF(BANCO!$B$2:$B$1000,Plan2!$B10,BANCO!$D$2:$D$1000)</f>
        <v>235</v>
      </c>
      <c r="E10" s="8">
        <f t="shared" si="0"/>
        <v>0.14529831071184454</v>
      </c>
    </row>
    <row r="11" spans="1:9" x14ac:dyDescent="0.25">
      <c r="A11">
        <v>4</v>
      </c>
      <c r="B11" s="2" t="s">
        <v>7</v>
      </c>
      <c r="C11" s="5">
        <f>SUMIF(BANCO!$B$2:$B$1000,Plan2!$B11,BANCO!$C$2:$C$1000)</f>
        <v>1496</v>
      </c>
      <c r="D11">
        <f>SUMIF(BANCO!$B$2:$B$1000,Plan2!$B11,BANCO!$D$2:$D$1000)</f>
        <v>309</v>
      </c>
      <c r="E11" s="8">
        <f t="shared" si="0"/>
        <v>0.1460794844253491</v>
      </c>
    </row>
    <row r="12" spans="1:9" x14ac:dyDescent="0.25">
      <c r="A12">
        <v>5</v>
      </c>
      <c r="B12" s="2" t="s">
        <v>8</v>
      </c>
      <c r="C12" s="5">
        <f>SUMIF(BANCO!$B$2:$B$1000,Plan2!$B12,BANCO!$C$2:$C$1000)</f>
        <v>1581</v>
      </c>
      <c r="D12">
        <f>SUMIF(BANCO!$B$2:$B$1000,Plan2!$B12,BANCO!$D$2:$D$1000)</f>
        <v>227</v>
      </c>
      <c r="E12" s="8">
        <f t="shared" si="0"/>
        <v>0.15437945513133483</v>
      </c>
    </row>
    <row r="13" spans="1:9" ht="1.5" customHeight="1" x14ac:dyDescent="0.25"/>
    <row r="14" spans="1:9" x14ac:dyDescent="0.25">
      <c r="B14" s="2" t="s">
        <v>9</v>
      </c>
      <c r="C14" s="4">
        <f>SUM(BANCO!C2:C1000)</f>
        <v>10241</v>
      </c>
      <c r="D14" s="5">
        <f>SUM(BANCO!D2:D1000)</f>
        <v>1317</v>
      </c>
      <c r="E14" s="6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8"/>
  <sheetViews>
    <sheetView zoomScale="190" zoomScaleNormal="190" workbookViewId="0">
      <selection activeCell="E12" sqref="E12"/>
    </sheetView>
  </sheetViews>
  <sheetFormatPr defaultRowHeight="15" x14ac:dyDescent="0.25"/>
  <cols>
    <col min="1" max="1" width="0.28515625" customWidth="1"/>
    <col min="5" max="5" width="9.5703125" customWidth="1"/>
    <col min="6" max="6" width="10.28515625" customWidth="1"/>
  </cols>
  <sheetData>
    <row r="1" spans="1:8" ht="1.5" customHeight="1" x14ac:dyDescent="0.25"/>
    <row r="2" spans="1:8" x14ac:dyDescent="0.25">
      <c r="A2">
        <v>1</v>
      </c>
    </row>
    <row r="6" spans="1:8" x14ac:dyDescent="0.25">
      <c r="D6" t="s">
        <v>11</v>
      </c>
      <c r="F6" t="s">
        <v>2</v>
      </c>
      <c r="G6" t="s">
        <v>3</v>
      </c>
      <c r="H6" t="s">
        <v>10</v>
      </c>
    </row>
    <row r="7" spans="1:8" x14ac:dyDescent="0.25">
      <c r="D7" s="12" t="str">
        <f>LOOKUP(A2,Plan2!A8:A12,Plan2!B8:B12)</f>
        <v>Bala</v>
      </c>
      <c r="E7" s="12"/>
      <c r="F7" s="1">
        <f ca="1">LOOKUP(A2,Plan2!A8:A13,Plan2!C8:C12)</f>
        <v>4177</v>
      </c>
      <c r="G7">
        <f>LOOKUP(A2,Plan2!A8:A12,Plan2!D8:D12)</f>
        <v>266</v>
      </c>
      <c r="H7" s="7">
        <f>LOOKUP(A2,Plan2!A8:A12,Plan2!E8:E12)</f>
        <v>0.40787032516355826</v>
      </c>
    </row>
    <row r="13" spans="1:8" x14ac:dyDescent="0.25">
      <c r="B13" s="10"/>
      <c r="C13" s="10" t="s">
        <v>3</v>
      </c>
    </row>
    <row r="14" spans="1:8" x14ac:dyDescent="0.25">
      <c r="B14" s="10" t="s">
        <v>4</v>
      </c>
      <c r="C14" s="10">
        <f>IF(B14=$D$7,1,0)</f>
        <v>1</v>
      </c>
    </row>
    <row r="15" spans="1:8" x14ac:dyDescent="0.25">
      <c r="B15" s="10" t="s">
        <v>5</v>
      </c>
      <c r="C15" s="10">
        <f t="shared" ref="C15:C18" si="0">IF(B15=$D$7,1,0)</f>
        <v>0</v>
      </c>
    </row>
    <row r="16" spans="1:8" x14ac:dyDescent="0.25">
      <c r="B16" s="10" t="s">
        <v>6</v>
      </c>
      <c r="C16" s="10">
        <f t="shared" si="0"/>
        <v>0</v>
      </c>
    </row>
    <row r="17" spans="2:3" x14ac:dyDescent="0.25">
      <c r="B17" s="10" t="s">
        <v>7</v>
      </c>
      <c r="C17" s="10">
        <f t="shared" si="0"/>
        <v>0</v>
      </c>
    </row>
    <row r="18" spans="2:3" x14ac:dyDescent="0.25">
      <c r="B18" s="10" t="s">
        <v>8</v>
      </c>
      <c r="C18" s="10">
        <f t="shared" si="0"/>
        <v>0</v>
      </c>
    </row>
  </sheetData>
  <mergeCells count="1">
    <mergeCell ref="D7:E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1</xdr:col>
                    <xdr:colOff>38100</xdr:colOff>
                    <xdr:row>5</xdr:row>
                    <xdr:rowOff>9525</xdr:rowOff>
                  </from>
                  <to>
                    <xdr:col>2</xdr:col>
                    <xdr:colOff>28575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D9:G12"/>
  <sheetViews>
    <sheetView topLeftCell="A2" zoomScale="190" zoomScaleNormal="190" workbookViewId="0">
      <selection activeCell="I9" sqref="I9"/>
    </sheetView>
  </sheetViews>
  <sheetFormatPr defaultRowHeight="15" x14ac:dyDescent="0.25"/>
  <cols>
    <col min="4" max="4" width="16.5703125" customWidth="1"/>
    <col min="6" max="6" width="4.140625" customWidth="1"/>
    <col min="7" max="7" width="12.5703125" customWidth="1"/>
  </cols>
  <sheetData>
    <row r="9" spans="4:7" x14ac:dyDescent="0.25">
      <c r="D9" s="13">
        <v>586</v>
      </c>
      <c r="F9" t="s">
        <v>12</v>
      </c>
      <c r="G9">
        <f>SUM(D9*2)</f>
        <v>1172</v>
      </c>
    </row>
    <row r="10" spans="4:7" x14ac:dyDescent="0.25">
      <c r="D10" s="13"/>
      <c r="F10" t="s">
        <v>13</v>
      </c>
      <c r="G10">
        <f>SUM(D9/7)</f>
        <v>83.714285714285708</v>
      </c>
    </row>
    <row r="11" spans="4:7" x14ac:dyDescent="0.25">
      <c r="D11" s="13"/>
      <c r="F11" s="11" t="s">
        <v>14</v>
      </c>
      <c r="G11">
        <f>SUM(D9+7)</f>
        <v>593</v>
      </c>
    </row>
    <row r="12" spans="4:7" x14ac:dyDescent="0.25">
      <c r="D12" s="13"/>
      <c r="F12" s="11" t="s">
        <v>15</v>
      </c>
      <c r="G12">
        <f>SUM(D9-2)</f>
        <v>584</v>
      </c>
    </row>
  </sheetData>
  <mergeCells count="1">
    <mergeCell ref="D9:D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autoPict="0">
                <anchor moveWithCells="1">
                  <from>
                    <xdr:col>4</xdr:col>
                    <xdr:colOff>38100</xdr:colOff>
                    <xdr:row>8</xdr:row>
                    <xdr:rowOff>0</xdr:rowOff>
                  </from>
                  <to>
                    <xdr:col>4</xdr:col>
                    <xdr:colOff>228600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Scroll Bar 2">
              <controlPr defaultSize="0" autoPict="0">
                <anchor moveWithCells="1">
                  <from>
                    <xdr:col>3</xdr:col>
                    <xdr:colOff>9525</xdr:colOff>
                    <xdr:row>12</xdr:row>
                    <xdr:rowOff>47625</xdr:rowOff>
                  </from>
                  <to>
                    <xdr:col>3</xdr:col>
                    <xdr:colOff>1095375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I10"/>
  <sheetViews>
    <sheetView zoomScale="205" zoomScaleNormal="205" workbookViewId="0">
      <selection activeCell="K6" sqref="K6"/>
    </sheetView>
  </sheetViews>
  <sheetFormatPr defaultRowHeight="15" x14ac:dyDescent="0.25"/>
  <cols>
    <col min="4" max="4" width="18.7109375" customWidth="1"/>
    <col min="5" max="5" width="3.42578125" customWidth="1"/>
    <col min="6" max="6" width="2.7109375" customWidth="1"/>
    <col min="7" max="7" width="13.5703125" customWidth="1"/>
    <col min="9" max="9" width="12.140625" customWidth="1"/>
  </cols>
  <sheetData>
    <row r="3" spans="2:9" x14ac:dyDescent="0.25">
      <c r="D3" t="s">
        <v>16</v>
      </c>
      <c r="E3">
        <f>LEN(D3)</f>
        <v>14</v>
      </c>
      <c r="F3">
        <f>FIND(" ",D3,1)-1</f>
        <v>5</v>
      </c>
      <c r="G3" t="str">
        <f>LEFT(D3,FIND(" ",D3,1)-1)</f>
        <v>Maria</v>
      </c>
      <c r="H3">
        <f>E3-F3-1</f>
        <v>8</v>
      </c>
      <c r="I3" t="str">
        <f>RIGHT(D3,H3)</f>
        <v>da Silva</v>
      </c>
    </row>
    <row r="4" spans="2:9" x14ac:dyDescent="0.25">
      <c r="B4">
        <v>15</v>
      </c>
      <c r="D4" t="s">
        <v>17</v>
      </c>
      <c r="E4">
        <f t="shared" ref="E4:E6" si="0">LEN(D4)</f>
        <v>14</v>
      </c>
      <c r="F4">
        <f t="shared" ref="F4:F6" si="1">FIND(" ",D4,1)-1</f>
        <v>5</v>
      </c>
      <c r="G4" t="str">
        <f t="shared" ref="G4:G6" si="2">LEFT(D4,FIND(" ",D4,1)-1)</f>
        <v>Pedro</v>
      </c>
      <c r="H4">
        <f>E4-F4-1</f>
        <v>8</v>
      </c>
      <c r="I4" t="str">
        <f t="shared" ref="I4:I6" si="3">RIGHT(D4,H4)</f>
        <v>Oliveira</v>
      </c>
    </row>
    <row r="5" spans="2:9" x14ac:dyDescent="0.25">
      <c r="B5">
        <v>23</v>
      </c>
      <c r="D5" t="s">
        <v>18</v>
      </c>
      <c r="E5">
        <f t="shared" si="0"/>
        <v>20</v>
      </c>
      <c r="F5">
        <f t="shared" si="1"/>
        <v>9</v>
      </c>
      <c r="G5" t="str">
        <f t="shared" si="2"/>
        <v>Margarete</v>
      </c>
      <c r="H5">
        <f t="shared" ref="H4:H6" si="4">E5-F5-1</f>
        <v>10</v>
      </c>
      <c r="I5" t="str">
        <f t="shared" si="3"/>
        <v>Lima Silva</v>
      </c>
    </row>
    <row r="6" spans="2:9" x14ac:dyDescent="0.25">
      <c r="B6">
        <v>65</v>
      </c>
      <c r="D6" t="s">
        <v>19</v>
      </c>
      <c r="E6">
        <f t="shared" si="0"/>
        <v>18</v>
      </c>
      <c r="F6">
        <f t="shared" si="1"/>
        <v>5</v>
      </c>
      <c r="G6" t="str">
        <f t="shared" si="2"/>
        <v>Paulo</v>
      </c>
      <c r="H6">
        <f t="shared" si="4"/>
        <v>12</v>
      </c>
      <c r="I6" t="str">
        <f t="shared" si="3"/>
        <v>Luiz Azevedo</v>
      </c>
    </row>
    <row r="9" spans="2:9" x14ac:dyDescent="0.25">
      <c r="B9">
        <f>CONCATENATE(B4,B5,B6)*1</f>
        <v>152365</v>
      </c>
    </row>
    <row r="10" spans="2:9" x14ac:dyDescent="0.25">
      <c r="B10" t="str">
        <f>CONCATENATE(B4," - ",B5," - ",B6)</f>
        <v>15 - 23 - 65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H5"/>
  <sheetViews>
    <sheetView zoomScale="220" zoomScaleNormal="220" workbookViewId="0">
      <selection activeCell="F10" sqref="F10"/>
    </sheetView>
  </sheetViews>
  <sheetFormatPr defaultRowHeight="15" x14ac:dyDescent="0.25"/>
  <cols>
    <col min="4" max="4" width="9.28515625" customWidth="1"/>
  </cols>
  <sheetData>
    <row r="3" spans="2:8" x14ac:dyDescent="0.25">
      <c r="C3" t="s">
        <v>21</v>
      </c>
      <c r="D3" t="s">
        <v>22</v>
      </c>
      <c r="E3" t="s">
        <v>23</v>
      </c>
      <c r="F3" t="s">
        <v>24</v>
      </c>
      <c r="G3" t="s">
        <v>25</v>
      </c>
    </row>
    <row r="4" spans="2:8" ht="1.5" customHeight="1" x14ac:dyDescent="0.25"/>
    <row r="5" spans="2:8" x14ac:dyDescent="0.25">
      <c r="B5" t="s">
        <v>20</v>
      </c>
      <c r="C5" t="str">
        <f>LEFT(B5,1)</f>
        <v>A</v>
      </c>
      <c r="D5" t="str">
        <f>RIGHT(LEFT(B5,3),2)</f>
        <v>32</v>
      </c>
      <c r="E5" t="str">
        <f>LEFT(RIGHT(B5,4),1)</f>
        <v>D</v>
      </c>
      <c r="F5" t="str">
        <f>LEFT(RIGHT(B5,3),2)</f>
        <v>15</v>
      </c>
      <c r="G5" t="str">
        <f>RIGHT(B5,1)</f>
        <v>C</v>
      </c>
      <c r="H5" t="str">
        <f>CONCATENATE(C5,D5,E5,F5,G5)</f>
        <v>A32D15C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17"/>
  <sheetViews>
    <sheetView zoomScale="190" zoomScaleNormal="190" workbookViewId="0">
      <selection activeCell="A6" sqref="A6"/>
    </sheetView>
  </sheetViews>
  <sheetFormatPr defaultRowHeight="15" x14ac:dyDescent="0.25"/>
  <cols>
    <col min="1" max="1" width="18" customWidth="1"/>
    <col min="2" max="2" width="19.5703125" customWidth="1"/>
    <col min="3" max="3" width="9" customWidth="1"/>
    <col min="4" max="4" width="5.42578125" customWidth="1"/>
    <col min="5" max="5" width="6.7109375" customWidth="1"/>
    <col min="6" max="6" width="6.85546875" customWidth="1"/>
    <col min="7" max="7" width="10.7109375" customWidth="1"/>
    <col min="8" max="13" width="4" customWidth="1"/>
    <col min="14" max="14" width="10.7109375" customWidth="1"/>
    <col min="15" max="15" width="5.42578125" customWidth="1"/>
    <col min="16" max="16" width="6.7109375" customWidth="1"/>
    <col min="17" max="18" width="6.85546875" customWidth="1"/>
    <col min="19" max="19" width="5.5703125" customWidth="1"/>
    <col min="20" max="20" width="9" customWidth="1"/>
    <col min="21" max="21" width="5.42578125" customWidth="1"/>
    <col min="22" max="22" width="6.7109375" customWidth="1"/>
    <col min="23" max="24" width="6.85546875" customWidth="1"/>
    <col min="25" max="25" width="5.5703125" customWidth="1"/>
    <col min="26" max="26" width="9" customWidth="1"/>
    <col min="27" max="27" width="5.42578125" customWidth="1"/>
    <col min="28" max="28" width="6.7109375" customWidth="1"/>
    <col min="29" max="29" width="6.85546875" customWidth="1"/>
    <col min="30" max="30" width="5.5703125" customWidth="1"/>
    <col min="31" max="31" width="9" customWidth="1"/>
    <col min="32" max="32" width="5.42578125" customWidth="1"/>
    <col min="33" max="34" width="6.85546875" customWidth="1"/>
    <col min="35" max="35" width="5.5703125" customWidth="1"/>
    <col min="36" max="36" width="9" customWidth="1"/>
    <col min="37" max="37" width="5.42578125" customWidth="1"/>
    <col min="38" max="38" width="6.7109375" customWidth="1"/>
    <col min="39" max="40" width="6.85546875" customWidth="1"/>
    <col min="41" max="41" width="5.5703125" customWidth="1"/>
    <col min="42" max="42" width="9" customWidth="1"/>
    <col min="43" max="43" width="5.42578125" customWidth="1"/>
    <col min="44" max="44" width="6.7109375" customWidth="1"/>
    <col min="45" max="46" width="6.85546875" customWidth="1"/>
    <col min="47" max="47" width="5.5703125" customWidth="1"/>
    <col min="48" max="48" width="5.42578125" customWidth="1"/>
    <col min="49" max="49" width="6.7109375" customWidth="1"/>
    <col min="50" max="51" width="6.85546875" customWidth="1"/>
    <col min="52" max="52" width="6.5703125" customWidth="1"/>
    <col min="53" max="53" width="9" customWidth="1"/>
    <col min="54" max="54" width="5.42578125" customWidth="1"/>
    <col min="55" max="55" width="6.7109375" customWidth="1"/>
    <col min="56" max="56" width="6.85546875" customWidth="1"/>
    <col min="57" max="57" width="8" customWidth="1"/>
    <col min="58" max="58" width="6.5703125" customWidth="1"/>
    <col min="59" max="59" width="9" customWidth="1"/>
    <col min="60" max="60" width="5.42578125" customWidth="1"/>
    <col min="61" max="61" width="6.7109375" customWidth="1"/>
    <col min="62" max="62" width="6.85546875" customWidth="1"/>
    <col min="63" max="63" width="8" customWidth="1"/>
    <col min="64" max="64" width="6.5703125" customWidth="1"/>
    <col min="65" max="65" width="9" customWidth="1"/>
    <col min="66" max="66" width="5.42578125" customWidth="1"/>
    <col min="67" max="67" width="6.7109375" customWidth="1"/>
    <col min="68" max="68" width="6.85546875" customWidth="1"/>
    <col min="69" max="69" width="8" customWidth="1"/>
    <col min="70" max="70" width="10.7109375" bestFit="1" customWidth="1"/>
  </cols>
  <sheetData>
    <row r="3" spans="1:7" x14ac:dyDescent="0.25">
      <c r="A3" s="14" t="s">
        <v>29</v>
      </c>
      <c r="B3" s="14" t="s">
        <v>30</v>
      </c>
    </row>
    <row r="4" spans="1:7" x14ac:dyDescent="0.25">
      <c r="A4" s="14" t="s">
        <v>27</v>
      </c>
      <c r="B4" t="s">
        <v>4</v>
      </c>
      <c r="C4" t="s">
        <v>7</v>
      </c>
      <c r="D4" t="s">
        <v>6</v>
      </c>
      <c r="E4" t="s">
        <v>8</v>
      </c>
      <c r="F4" t="s">
        <v>5</v>
      </c>
      <c r="G4" t="s">
        <v>28</v>
      </c>
    </row>
    <row r="5" spans="1:7" x14ac:dyDescent="0.25">
      <c r="A5" s="15">
        <v>1</v>
      </c>
      <c r="B5" s="16">
        <v>2673</v>
      </c>
      <c r="C5" s="16">
        <v>81</v>
      </c>
      <c r="D5" s="16">
        <v>56</v>
      </c>
      <c r="E5" s="16"/>
      <c r="F5" s="16">
        <v>211</v>
      </c>
      <c r="G5" s="16">
        <v>3021</v>
      </c>
    </row>
    <row r="6" spans="1:7" x14ac:dyDescent="0.25">
      <c r="A6" s="15">
        <v>2</v>
      </c>
      <c r="B6" s="16">
        <v>309</v>
      </c>
      <c r="C6" s="16">
        <v>56</v>
      </c>
      <c r="D6" s="16">
        <v>167</v>
      </c>
      <c r="E6" s="16">
        <v>45</v>
      </c>
      <c r="F6" s="16">
        <v>175</v>
      </c>
      <c r="G6" s="16">
        <v>752</v>
      </c>
    </row>
    <row r="7" spans="1:7" x14ac:dyDescent="0.25">
      <c r="A7" s="15">
        <v>3</v>
      </c>
      <c r="B7" s="16">
        <v>85</v>
      </c>
      <c r="C7" s="16">
        <v>97</v>
      </c>
      <c r="D7" s="16">
        <v>60</v>
      </c>
      <c r="E7" s="16">
        <v>195</v>
      </c>
      <c r="F7" s="16">
        <v>33</v>
      </c>
      <c r="G7" s="16">
        <v>470</v>
      </c>
    </row>
    <row r="8" spans="1:7" x14ac:dyDescent="0.25">
      <c r="A8" s="15">
        <v>4</v>
      </c>
      <c r="B8" s="16">
        <v>126</v>
      </c>
      <c r="C8" s="16">
        <v>117</v>
      </c>
      <c r="D8" s="16">
        <v>157</v>
      </c>
      <c r="E8" s="16">
        <v>214</v>
      </c>
      <c r="F8" s="16">
        <v>48</v>
      </c>
      <c r="G8" s="16">
        <v>662</v>
      </c>
    </row>
    <row r="9" spans="1:7" x14ac:dyDescent="0.25">
      <c r="A9" s="15">
        <v>5</v>
      </c>
      <c r="B9" s="16">
        <v>136</v>
      </c>
      <c r="C9" s="16">
        <v>224</v>
      </c>
      <c r="D9" s="16">
        <v>47</v>
      </c>
      <c r="E9" s="16">
        <v>20</v>
      </c>
      <c r="F9" s="16"/>
      <c r="G9" s="16">
        <v>427</v>
      </c>
    </row>
    <row r="10" spans="1:7" x14ac:dyDescent="0.25">
      <c r="A10" s="15">
        <v>6</v>
      </c>
      <c r="B10" s="16">
        <v>123</v>
      </c>
      <c r="C10" s="16">
        <v>199</v>
      </c>
      <c r="D10" s="16">
        <v>248</v>
      </c>
      <c r="E10" s="16"/>
      <c r="F10" s="16">
        <v>167</v>
      </c>
      <c r="G10" s="16">
        <v>737</v>
      </c>
    </row>
    <row r="11" spans="1:7" x14ac:dyDescent="0.25">
      <c r="A11" s="15">
        <v>7</v>
      </c>
      <c r="B11" s="16">
        <v>74</v>
      </c>
      <c r="C11" s="16">
        <v>136</v>
      </c>
      <c r="D11" s="16">
        <v>100</v>
      </c>
      <c r="E11" s="16">
        <v>138</v>
      </c>
      <c r="F11" s="16">
        <v>187</v>
      </c>
      <c r="G11" s="16">
        <v>635</v>
      </c>
    </row>
    <row r="12" spans="1:7" x14ac:dyDescent="0.25">
      <c r="A12" s="15">
        <v>8</v>
      </c>
      <c r="B12" s="16">
        <v>61</v>
      </c>
      <c r="C12" s="16">
        <v>115</v>
      </c>
      <c r="D12" s="16">
        <v>78</v>
      </c>
      <c r="E12" s="16">
        <v>52</v>
      </c>
      <c r="F12" s="16">
        <v>193</v>
      </c>
      <c r="G12" s="16">
        <v>499</v>
      </c>
    </row>
    <row r="13" spans="1:7" x14ac:dyDescent="0.25">
      <c r="A13" s="15">
        <v>9</v>
      </c>
      <c r="B13" s="16">
        <v>108</v>
      </c>
      <c r="C13" s="16"/>
      <c r="D13" s="16">
        <v>275</v>
      </c>
      <c r="E13" s="16">
        <v>248</v>
      </c>
      <c r="F13" s="16">
        <v>114</v>
      </c>
      <c r="G13" s="16">
        <v>745</v>
      </c>
    </row>
    <row r="14" spans="1:7" x14ac:dyDescent="0.25">
      <c r="A14" s="15">
        <v>10</v>
      </c>
      <c r="B14" s="16">
        <v>172</v>
      </c>
      <c r="C14" s="16">
        <v>130</v>
      </c>
      <c r="D14" s="16">
        <v>80</v>
      </c>
      <c r="E14" s="16">
        <v>152</v>
      </c>
      <c r="F14" s="16">
        <v>117</v>
      </c>
      <c r="G14" s="16">
        <v>651</v>
      </c>
    </row>
    <row r="15" spans="1:7" x14ac:dyDescent="0.25">
      <c r="A15" s="15">
        <v>11</v>
      </c>
      <c r="B15" s="16">
        <v>111</v>
      </c>
      <c r="C15" s="16">
        <v>129</v>
      </c>
      <c r="D15" s="16">
        <v>60</v>
      </c>
      <c r="E15" s="16">
        <v>180</v>
      </c>
      <c r="F15" s="16">
        <v>173</v>
      </c>
      <c r="G15" s="16">
        <v>653</v>
      </c>
    </row>
    <row r="16" spans="1:7" x14ac:dyDescent="0.25">
      <c r="A16" s="15">
        <v>12</v>
      </c>
      <c r="B16" s="16">
        <v>199</v>
      </c>
      <c r="C16" s="16">
        <v>212</v>
      </c>
      <c r="D16" s="16">
        <v>160</v>
      </c>
      <c r="E16" s="16">
        <v>337</v>
      </c>
      <c r="F16" s="16">
        <v>81</v>
      </c>
      <c r="G16" s="16">
        <v>989</v>
      </c>
    </row>
    <row r="17" spans="1:7" x14ac:dyDescent="0.25">
      <c r="A17" s="15" t="s">
        <v>28</v>
      </c>
      <c r="B17" s="16">
        <v>4177</v>
      </c>
      <c r="C17" s="16">
        <v>1496</v>
      </c>
      <c r="D17" s="16">
        <v>1488</v>
      </c>
      <c r="E17" s="16">
        <v>1581</v>
      </c>
      <c r="F17" s="16">
        <v>1499</v>
      </c>
      <c r="G17" s="16">
        <v>10241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E6"/>
  <sheetViews>
    <sheetView zoomScale="205" zoomScaleNormal="205" workbookViewId="0">
      <selection activeCell="F6" sqref="F6"/>
    </sheetView>
  </sheetViews>
  <sheetFormatPr defaultRowHeight="15" x14ac:dyDescent="0.25"/>
  <sheetData>
    <row r="3" spans="2:5" x14ac:dyDescent="0.25">
      <c r="B3">
        <v>225</v>
      </c>
      <c r="C3">
        <f>SQRT(B3)</f>
        <v>15</v>
      </c>
    </row>
    <row r="4" spans="2:5" x14ac:dyDescent="0.25">
      <c r="B4">
        <v>625</v>
      </c>
      <c r="C4">
        <f>SQRT(B4)</f>
        <v>25</v>
      </c>
    </row>
    <row r="6" spans="2:5" x14ac:dyDescent="0.25">
      <c r="E6" s="17">
        <v>2025</v>
      </c>
    </row>
  </sheetData>
  <dataValidations count="1">
    <dataValidation type="list" allowBlank="1" showInputMessage="1" showErrorMessage="1" errorTitle="Pare tudo!" error="Seu idiota você digitou um número inválido. E eu já tingha avisado!" promptTitle="Alteração" prompt="Deixe de ser idiota e digite um número correto!" sqref="E6">
      <formula1>"2022,2023,2024,2025"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B4"/>
  <sheetViews>
    <sheetView tabSelected="1" zoomScale="220" zoomScaleNormal="220" workbookViewId="0">
      <selection activeCell="B7" sqref="B7"/>
    </sheetView>
  </sheetViews>
  <sheetFormatPr defaultRowHeight="15" x14ac:dyDescent="0.25"/>
  <sheetData>
    <row r="3" spans="1:2" x14ac:dyDescent="0.25">
      <c r="B3" t="s">
        <v>2</v>
      </c>
    </row>
    <row r="4" spans="1:2" x14ac:dyDescent="0.25">
      <c r="A4" t="s">
        <v>31</v>
      </c>
      <c r="B4">
        <v>90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Scroll Bar 2">
              <controlPr defaultSize="0" autoPict="0">
                <anchor moveWithCells="1">
                  <from>
                    <xdr:col>2</xdr:col>
                    <xdr:colOff>66675</xdr:colOff>
                    <xdr:row>1</xdr:row>
                    <xdr:rowOff>19050</xdr:rowOff>
                  </from>
                  <to>
                    <xdr:col>2</xdr:col>
                    <xdr:colOff>228600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BANCO</vt:lpstr>
      <vt:lpstr>Plan2</vt:lpstr>
      <vt:lpstr>Plan3</vt:lpstr>
      <vt:lpstr>Plan4</vt:lpstr>
      <vt:lpstr>Plan5</vt:lpstr>
      <vt:lpstr>Plan6</vt:lpstr>
      <vt:lpstr>Plan7</vt:lpstr>
      <vt:lpstr>Plan8</vt:lpstr>
      <vt:lpstr>Plan9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Valdir de Souza Carvalho Neto</dc:creator>
  <cp:lastModifiedBy>Valdir de Souza Carvalho Neto</cp:lastModifiedBy>
  <dcterms:created xsi:type="dcterms:W3CDTF">2025-02-05T15:11:33Z</dcterms:created>
  <dcterms:modified xsi:type="dcterms:W3CDTF">2025-02-12T16:01:32Z</dcterms:modified>
</cp:coreProperties>
</file>